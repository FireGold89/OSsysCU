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Pork\000 綜合\020 報價合約\Quotation\2024\MS_Q1241_24_kp (C9644-24C Extension of Fitness Room at KBD Recreation &amp; Sports Centre)\P1 - Payment\"/>
    </mc:Choice>
  </mc:AlternateContent>
  <xr:revisionPtr revIDLastSave="0" documentId="13_ncr:1_{16C7DCF3-5AA9-4ED2-A3BA-0AFF205D9D1C}" xr6:coauthVersionLast="36" xr6:coauthVersionMax="36" xr10:uidLastSave="{00000000-0000-0000-0000-000000000000}"/>
  <bookViews>
    <workbookView xWindow="0" yWindow="0" windowWidth="41280" windowHeight="12348" activeTab="2" xr2:uid="{00000000-000D-0000-FFFF-FFFF00000000}"/>
  </bookViews>
  <sheets>
    <sheet name="Summary" sheetId="1" r:id="rId1"/>
    <sheet name="代支工程, 物料" sheetId="2" r:id="rId2"/>
    <sheet name="Project Summary" sheetId="5" r:id="rId3"/>
  </sheets>
  <definedNames>
    <definedName name="_xlnm._FilterDatabase" localSheetId="2" hidden="1">'Project Summary'!$A$8:$Q$73</definedName>
    <definedName name="_xlnm._FilterDatabase" localSheetId="1" hidden="1">'代支工程, 物料'!$C$4:$Q$151</definedName>
    <definedName name="_xlnm.Print_Area" localSheetId="0">Summary!$A$1:$G$73</definedName>
    <definedName name="_xlnm.Print_Area" localSheetId="1">'代支工程, 物料'!$A$1:$R$167</definedName>
  </definedNames>
  <calcPr calcId="191029"/>
  <fileRecoveryPr autoRecover="0"/>
</workbook>
</file>

<file path=xl/calcChain.xml><?xml version="1.0" encoding="utf-8"?>
<calcChain xmlns="http://schemas.openxmlformats.org/spreadsheetml/2006/main">
  <c r="J70" i="5" l="1"/>
  <c r="C70" i="5"/>
  <c r="J69" i="5"/>
  <c r="C69" i="5"/>
  <c r="J71" i="5"/>
  <c r="C71" i="5"/>
  <c r="J67" i="5" l="1"/>
  <c r="J20" i="5" l="1"/>
  <c r="C20" i="5"/>
  <c r="J74" i="5"/>
  <c r="J6" i="2"/>
  <c r="J7" i="2"/>
  <c r="J8" i="2"/>
  <c r="J11" i="2"/>
  <c r="J19" i="2"/>
  <c r="J20" i="2"/>
  <c r="J21" i="2"/>
  <c r="J25" i="2"/>
  <c r="J26" i="2"/>
  <c r="J28" i="2"/>
  <c r="J38" i="2"/>
  <c r="J39" i="2"/>
  <c r="J40" i="2"/>
  <c r="J42" i="2"/>
  <c r="J43" i="2"/>
  <c r="J44" i="2"/>
  <c r="J45" i="2"/>
  <c r="J47" i="2"/>
  <c r="J48" i="2"/>
  <c r="J51" i="2"/>
  <c r="J52" i="2"/>
  <c r="J55" i="2"/>
  <c r="J56" i="2"/>
  <c r="J57" i="2"/>
  <c r="J62" i="2"/>
  <c r="J66" i="2"/>
  <c r="J70" i="2"/>
  <c r="J72" i="2"/>
  <c r="J74" i="2"/>
  <c r="J75" i="2"/>
  <c r="J76" i="2"/>
  <c r="J82" i="2"/>
  <c r="J83" i="2"/>
  <c r="J84" i="2"/>
  <c r="J85" i="2"/>
  <c r="J89" i="2"/>
  <c r="J90" i="2"/>
  <c r="J91" i="2"/>
  <c r="J93" i="2"/>
  <c r="J97" i="2"/>
  <c r="J101" i="2"/>
  <c r="J104" i="2"/>
  <c r="J105" i="2"/>
  <c r="J109" i="2"/>
  <c r="J111" i="2"/>
  <c r="J113" i="2"/>
  <c r="J114" i="2"/>
  <c r="J115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5" i="2"/>
  <c r="J4" i="5"/>
  <c r="J6" i="5" s="1"/>
  <c r="H19" i="5" l="1"/>
  <c r="J107" i="2" l="1"/>
  <c r="J88" i="2"/>
  <c r="J73" i="2"/>
  <c r="J15" i="2"/>
  <c r="J37" i="2"/>
  <c r="J117" i="2"/>
  <c r="J106" i="2"/>
  <c r="J67" i="2"/>
  <c r="J17" i="2"/>
  <c r="J22" i="2"/>
  <c r="J27" i="2"/>
  <c r="J81" i="2"/>
  <c r="J102" i="2"/>
  <c r="J10" i="2"/>
  <c r="J13" i="2"/>
  <c r="J54" i="2"/>
  <c r="H18" i="5"/>
  <c r="J103" i="2" l="1"/>
  <c r="J60" i="2"/>
  <c r="J71" i="2"/>
  <c r="J116" i="2"/>
  <c r="J100" i="2"/>
  <c r="J41" i="2"/>
  <c r="J9" i="2"/>
  <c r="H53" i="5"/>
  <c r="H52" i="5"/>
  <c r="J96" i="2" s="1"/>
  <c r="H50" i="5"/>
  <c r="J98" i="2" s="1"/>
  <c r="H49" i="5"/>
  <c r="J95" i="2" s="1"/>
  <c r="H48" i="5"/>
  <c r="J99" i="2" s="1"/>
  <c r="H47" i="5"/>
  <c r="J94" i="2" s="1"/>
  <c r="J63" i="5" l="1"/>
  <c r="C63" i="5"/>
  <c r="H59" i="5" l="1"/>
  <c r="J24" i="2" l="1"/>
  <c r="J68" i="2"/>
  <c r="J110" i="2"/>
  <c r="H15" i="5"/>
  <c r="J112" i="2" s="1"/>
  <c r="H61" i="5" l="1"/>
  <c r="J108" i="2" l="1"/>
  <c r="J92" i="2"/>
  <c r="J69" i="2"/>
  <c r="J30" i="2"/>
  <c r="J15" i="5"/>
  <c r="H90" i="2" l="1"/>
  <c r="G90" i="2"/>
  <c r="B93" i="2" l="1"/>
  <c r="G93" i="2"/>
  <c r="H93" i="2"/>
  <c r="G92" i="2"/>
  <c r="H92" i="2"/>
  <c r="I92" i="2"/>
  <c r="B92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1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5" i="2"/>
  <c r="J10" i="5" l="1"/>
  <c r="C10" i="5"/>
  <c r="C12" i="5"/>
  <c r="C13" i="5"/>
  <c r="C14" i="5"/>
  <c r="C16" i="5"/>
  <c r="C17" i="5"/>
  <c r="C18" i="5"/>
  <c r="C19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4" i="5"/>
  <c r="C65" i="5"/>
  <c r="C66" i="5"/>
  <c r="C68" i="5"/>
  <c r="C72" i="5"/>
  <c r="C11" i="5"/>
  <c r="C9" i="5"/>
  <c r="H60" i="5" l="1"/>
  <c r="J86" i="2" l="1"/>
  <c r="J87" i="2"/>
  <c r="J29" i="2"/>
  <c r="J49" i="2"/>
  <c r="J53" i="2"/>
  <c r="J27" i="5"/>
  <c r="J12" i="5" l="1"/>
  <c r="H46" i="5" l="1"/>
  <c r="J77" i="2" s="1"/>
  <c r="H45" i="5"/>
  <c r="J80" i="2" s="1"/>
  <c r="H44" i="5" l="1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H43" i="5"/>
  <c r="J43" i="5" l="1"/>
  <c r="J79" i="2"/>
  <c r="J44" i="5"/>
  <c r="J78" i="2"/>
  <c r="H41" i="5"/>
  <c r="J59" i="2" s="1"/>
  <c r="H42" i="5" l="1"/>
  <c r="J41" i="5"/>
  <c r="J40" i="5"/>
  <c r="H39" i="5"/>
  <c r="J63" i="2" s="1"/>
  <c r="H38" i="5"/>
  <c r="J64" i="2" s="1"/>
  <c r="H37" i="5"/>
  <c r="J61" i="2" s="1"/>
  <c r="H36" i="5"/>
  <c r="J65" i="2" s="1"/>
  <c r="J42" i="5" l="1"/>
  <c r="J58" i="2"/>
  <c r="J38" i="5"/>
  <c r="J39" i="5"/>
  <c r="J72" i="5"/>
  <c r="J68" i="5"/>
  <c r="J66" i="5"/>
  <c r="J65" i="5"/>
  <c r="J64" i="5"/>
  <c r="J62" i="5"/>
  <c r="B43" i="1" s="1"/>
  <c r="J61" i="5"/>
  <c r="B41" i="1" s="1"/>
  <c r="J60" i="5"/>
  <c r="B40" i="1" s="1"/>
  <c r="J59" i="5"/>
  <c r="B39" i="1" s="1"/>
  <c r="J37" i="5"/>
  <c r="J36" i="5"/>
  <c r="J35" i="5"/>
  <c r="J34" i="5"/>
  <c r="J33" i="5"/>
  <c r="H32" i="5"/>
  <c r="H31" i="5"/>
  <c r="H30" i="5"/>
  <c r="H29" i="5"/>
  <c r="H28" i="5"/>
  <c r="J26" i="5"/>
  <c r="B24" i="1" s="1"/>
  <c r="H25" i="5"/>
  <c r="J24" i="5"/>
  <c r="J23" i="5"/>
  <c r="B26" i="1" s="1"/>
  <c r="H22" i="5"/>
  <c r="J21" i="5"/>
  <c r="J19" i="5"/>
  <c r="B37" i="1" s="1"/>
  <c r="J18" i="5"/>
  <c r="B36" i="1" s="1"/>
  <c r="J17" i="5"/>
  <c r="B35" i="1" s="1"/>
  <c r="J16" i="5"/>
  <c r="B25" i="1" s="1"/>
  <c r="J14" i="5"/>
  <c r="B34" i="1" s="1"/>
  <c r="J13" i="5"/>
  <c r="B22" i="1" s="1"/>
  <c r="J11" i="5"/>
  <c r="B23" i="1" s="1"/>
  <c r="J9" i="5"/>
  <c r="B33" i="1" l="1"/>
  <c r="J32" i="5"/>
  <c r="J36" i="2"/>
  <c r="J22" i="5"/>
  <c r="B38" i="1" s="1"/>
  <c r="J23" i="2"/>
  <c r="J12" i="2"/>
  <c r="J14" i="2"/>
  <c r="J31" i="5"/>
  <c r="J35" i="2"/>
  <c r="J25" i="5"/>
  <c r="B42" i="1" s="1"/>
  <c r="J16" i="2"/>
  <c r="J46" i="2"/>
  <c r="J18" i="2"/>
  <c r="J50" i="2"/>
  <c r="J31" i="2"/>
  <c r="J28" i="5"/>
  <c r="B44" i="1" s="1"/>
  <c r="J32" i="2"/>
  <c r="J29" i="5"/>
  <c r="J33" i="2"/>
  <c r="J30" i="5"/>
  <c r="J34" i="2"/>
  <c r="B30" i="1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7" i="2"/>
  <c r="I29" i="2"/>
  <c r="I30" i="2"/>
  <c r="I31" i="2"/>
  <c r="I32" i="2"/>
  <c r="I33" i="2"/>
  <c r="I34" i="2"/>
  <c r="I35" i="2"/>
  <c r="I36" i="2"/>
  <c r="I37" i="2"/>
  <c r="I39" i="2"/>
  <c r="I41" i="2"/>
  <c r="I42" i="2"/>
  <c r="I43" i="2"/>
  <c r="I44" i="2"/>
  <c r="I45" i="2"/>
  <c r="I46" i="2"/>
  <c r="I47" i="2"/>
  <c r="I49" i="2"/>
  <c r="I50" i="2"/>
  <c r="I51" i="2"/>
  <c r="I53" i="2"/>
  <c r="I54" i="2"/>
  <c r="I55" i="2"/>
  <c r="I58" i="2"/>
  <c r="I59" i="2"/>
  <c r="I60" i="2"/>
  <c r="I61" i="2"/>
  <c r="I62" i="2"/>
  <c r="I63" i="2"/>
  <c r="I64" i="2"/>
  <c r="I65" i="2"/>
  <c r="I67" i="2"/>
  <c r="I68" i="2"/>
  <c r="I69" i="2"/>
  <c r="I70" i="2"/>
  <c r="I71" i="2"/>
  <c r="I73" i="2"/>
  <c r="I77" i="2"/>
  <c r="I78" i="2"/>
  <c r="I79" i="2"/>
  <c r="I80" i="2"/>
  <c r="I81" i="2"/>
  <c r="I82" i="2"/>
  <c r="I84" i="2"/>
  <c r="I86" i="2"/>
  <c r="I87" i="2"/>
  <c r="I88" i="2"/>
  <c r="I91" i="2"/>
  <c r="I100" i="2"/>
  <c r="I101" i="2"/>
  <c r="I102" i="2"/>
  <c r="I103" i="2"/>
  <c r="I104" i="2"/>
  <c r="I106" i="2"/>
  <c r="I107" i="2"/>
  <c r="I108" i="2"/>
  <c r="I109" i="2"/>
  <c r="I110" i="2"/>
  <c r="I112" i="2"/>
  <c r="I113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J73" i="5" l="1"/>
  <c r="J76" i="5" s="1"/>
  <c r="J77" i="5" s="1"/>
  <c r="J78" i="5" s="1"/>
  <c r="D166" i="2"/>
  <c r="D165" i="2"/>
  <c r="D164" i="2"/>
  <c r="D163" i="2"/>
  <c r="D162" i="2"/>
  <c r="D160" i="2"/>
  <c r="D159" i="2"/>
  <c r="D158" i="2"/>
  <c r="D157" i="2"/>
  <c r="E160" i="2" l="1"/>
  <c r="E159" i="2"/>
  <c r="E157" i="2"/>
  <c r="E158" i="2"/>
  <c r="G19" i="2" l="1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1" i="2"/>
  <c r="H91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8" i="2"/>
  <c r="H18" i="2"/>
  <c r="D161" i="2" l="1"/>
  <c r="H17" i="2"/>
  <c r="G17" i="2"/>
  <c r="E163" i="2" l="1"/>
  <c r="E161" i="2"/>
  <c r="E162" i="2"/>
  <c r="E167" i="2" l="1"/>
  <c r="H15" i="2"/>
  <c r="H69" i="1" l="1"/>
  <c r="I5" i="2" l="1"/>
  <c r="H11" i="2"/>
  <c r="H12" i="2"/>
  <c r="H13" i="2"/>
  <c r="H14" i="2"/>
  <c r="H16" i="2"/>
  <c r="H10" i="2"/>
  <c r="H9" i="2"/>
  <c r="H8" i="2"/>
  <c r="H7" i="2"/>
  <c r="H6" i="2"/>
  <c r="H5" i="2"/>
  <c r="G11" i="2"/>
  <c r="G12" i="2"/>
  <c r="G13" i="2"/>
  <c r="G14" i="2"/>
  <c r="G15" i="2"/>
  <c r="G16" i="2"/>
  <c r="G10" i="2"/>
  <c r="G9" i="2"/>
  <c r="G8" i="2"/>
  <c r="G7" i="2"/>
  <c r="G6" i="2"/>
  <c r="G5" i="2"/>
  <c r="B18" i="1" l="1"/>
  <c r="D59" i="1" l="1"/>
  <c r="F60" i="1"/>
  <c r="F61" i="1"/>
  <c r="F62" i="1"/>
  <c r="F64" i="1"/>
  <c r="F65" i="1"/>
  <c r="F66" i="1"/>
  <c r="F59" i="1"/>
  <c r="D61" i="1"/>
  <c r="D65" i="1"/>
  <c r="D67" i="1"/>
  <c r="F63" i="1"/>
  <c r="F67" i="1"/>
  <c r="D60" i="1"/>
  <c r="D63" i="1"/>
  <c r="D64" i="1"/>
  <c r="D68" i="1"/>
  <c r="F68" i="1"/>
  <c r="D66" i="1"/>
  <c r="D62" i="1"/>
  <c r="B32" i="1" l="1"/>
  <c r="B51" i="1" s="1"/>
  <c r="I60" i="1"/>
  <c r="I63" i="1"/>
  <c r="I65" i="1"/>
  <c r="I68" i="1"/>
  <c r="I59" i="1"/>
  <c r="I61" i="1"/>
  <c r="I64" i="1"/>
  <c r="I67" i="1"/>
  <c r="I62" i="1"/>
  <c r="I66" i="1"/>
  <c r="B73" i="1"/>
  <c r="L6" i="2" l="1"/>
  <c r="R9" i="5"/>
  <c r="B53" i="1" l="1"/>
  <c r="A1" i="2" l="1"/>
  <c r="B54" i="1" l="1"/>
  <c r="M157" i="2"/>
  <c r="E69" i="1"/>
  <c r="M158" i="2"/>
  <c r="O167" i="2"/>
  <c r="M166" i="2"/>
  <c r="M165" i="2"/>
  <c r="M164" i="2"/>
  <c r="M163" i="2"/>
  <c r="M162" i="2"/>
  <c r="M161" i="2"/>
  <c r="M160" i="2"/>
  <c r="M159" i="2"/>
  <c r="E71" i="1" l="1"/>
  <c r="H71" i="1"/>
  <c r="K153" i="2"/>
  <c r="E72" i="1" s="1"/>
  <c r="M167" i="2"/>
  <c r="D167" i="2"/>
  <c r="E73" i="1" l="1"/>
  <c r="N167" i="2"/>
  <c r="L7" i="2" l="1"/>
  <c r="L10" i="2" l="1"/>
  <c r="L21" i="2" l="1"/>
  <c r="L29" i="2" l="1"/>
  <c r="L30" i="2" l="1"/>
  <c r="L32" i="2" l="1"/>
  <c r="L33" i="2"/>
  <c r="L34" i="2" l="1"/>
  <c r="L35" i="2" l="1"/>
  <c r="L36" i="2" l="1"/>
  <c r="L42" i="2" l="1"/>
  <c r="L43" i="2" s="1"/>
  <c r="L44" i="2" s="1"/>
  <c r="L39" i="2" l="1"/>
  <c r="L45" i="2"/>
  <c r="L51" i="2" l="1"/>
  <c r="L58" i="2" l="1"/>
  <c r="L59" i="2" l="1"/>
  <c r="L62" i="2"/>
  <c r="L65" i="2" l="1"/>
  <c r="L77" i="2" l="1"/>
  <c r="L78" i="2" l="1"/>
  <c r="L79" i="2" l="1"/>
  <c r="L80" i="2" l="1"/>
  <c r="L84" i="2" l="1"/>
  <c r="L95" i="2" l="1"/>
  <c r="L96" i="2" l="1"/>
  <c r="L97" i="2" l="1"/>
  <c r="L98" i="2" s="1"/>
  <c r="L99" i="2" l="1"/>
  <c r="L101" i="2" l="1"/>
  <c r="L113" i="2" l="1"/>
  <c r="L119" i="2" l="1"/>
  <c r="L120" i="2" l="1"/>
  <c r="L121" i="2" l="1"/>
  <c r="L122" i="2" l="1"/>
  <c r="L123" i="2" s="1"/>
  <c r="L124" i="2" l="1"/>
  <c r="L125" i="2" s="1"/>
  <c r="L126" i="2" l="1"/>
  <c r="L127" i="2" l="1"/>
  <c r="L128" i="2" l="1"/>
  <c r="L129" i="2" s="1"/>
  <c r="L130" i="2" s="1"/>
  <c r="L131" i="2" l="1"/>
  <c r="L132" i="2" l="1"/>
  <c r="L133" i="2" l="1"/>
  <c r="L134" i="2" l="1"/>
  <c r="L135" i="2" l="1"/>
  <c r="L136" i="2" l="1"/>
  <c r="L137" i="2" l="1"/>
  <c r="L138" i="2" l="1"/>
  <c r="L139" i="2" l="1"/>
  <c r="L140" i="2" l="1"/>
  <c r="L141" i="2" l="1"/>
  <c r="L142" i="2" l="1"/>
  <c r="L143" i="2" l="1"/>
  <c r="L144" i="2" s="1"/>
  <c r="L145" i="2" l="1"/>
  <c r="L146" i="2" s="1"/>
  <c r="L147" i="2" l="1"/>
  <c r="L148" i="2" l="1"/>
  <c r="L149" i="2" l="1"/>
  <c r="L150" i="2" s="1"/>
  <c r="L151" i="2" l="1"/>
  <c r="L5" i="2" l="1"/>
  <c r="L8" i="2" l="1"/>
  <c r="L9" i="2" l="1"/>
  <c r="L12" i="2" l="1"/>
  <c r="L11" i="2"/>
  <c r="L13" i="2" l="1"/>
  <c r="L16" i="2"/>
  <c r="L14" i="2" l="1"/>
  <c r="L19" i="2"/>
  <c r="L15" i="2" l="1"/>
  <c r="L20" i="2"/>
  <c r="L17" i="2" l="1"/>
  <c r="L24" i="2"/>
  <c r="L18" i="2" l="1"/>
  <c r="L22" i="2" l="1"/>
  <c r="L23" i="2" s="1"/>
  <c r="L25" i="2" l="1"/>
  <c r="L26" i="2" l="1"/>
  <c r="L27" i="2" l="1"/>
  <c r="L38" i="2"/>
  <c r="L28" i="2" l="1"/>
  <c r="L31" i="2" l="1"/>
  <c r="L37" i="2" l="1"/>
  <c r="L40" i="2" l="1"/>
  <c r="L41" i="2" l="1"/>
  <c r="L46" i="2" l="1"/>
  <c r="L47" i="2" l="1"/>
  <c r="L63" i="2"/>
  <c r="L64" i="2" s="1"/>
  <c r="L48" i="2" l="1"/>
  <c r="L49" i="2" s="1"/>
  <c r="L55" i="2"/>
  <c r="L61" i="2"/>
  <c r="L50" i="2" l="1"/>
  <c r="L52" i="2" s="1"/>
  <c r="L56" i="2" s="1"/>
  <c r="L53" i="2" l="1"/>
  <c r="L54" i="2" s="1"/>
  <c r="L57" i="2" s="1"/>
  <c r="L60" i="2" l="1"/>
  <c r="L66" i="2"/>
  <c r="L67" i="2" l="1"/>
  <c r="L68" i="2" l="1"/>
  <c r="L69" i="2" s="1"/>
  <c r="L70" i="2" l="1"/>
  <c r="L71" i="2" s="1"/>
  <c r="L72" i="2" l="1"/>
  <c r="L73" i="2" l="1"/>
  <c r="L74" i="2" l="1"/>
  <c r="L75" i="2" l="1"/>
  <c r="L76" i="2" l="1"/>
  <c r="L81" i="2" s="1"/>
  <c r="L82" i="2" l="1"/>
  <c r="L83" i="2" l="1"/>
  <c r="L89" i="2"/>
  <c r="L85" i="2" l="1"/>
  <c r="L86" i="2" s="1"/>
  <c r="L87" i="2" l="1"/>
  <c r="L88" i="2" s="1"/>
  <c r="L91" i="2" l="1"/>
  <c r="L94" i="2" s="1"/>
  <c r="L90" i="2"/>
  <c r="L92" i="2" s="1"/>
  <c r="L93" i="2" l="1"/>
  <c r="L100" i="2" s="1"/>
  <c r="L102" i="2" s="1"/>
  <c r="L103" i="2" l="1"/>
  <c r="L104" i="2" s="1"/>
  <c r="L105" i="2" s="1"/>
  <c r="L106" i="2" l="1"/>
  <c r="L107" i="2" s="1"/>
  <c r="L108" i="2" l="1"/>
  <c r="L109" i="2" s="1"/>
  <c r="L110" i="2" l="1"/>
  <c r="L111" i="2" s="1"/>
  <c r="L112" i="2" s="1"/>
  <c r="L114" i="2" l="1"/>
  <c r="L115" i="2" s="1"/>
  <c r="L116" i="2" l="1"/>
  <c r="L117" i="2" s="1"/>
  <c r="L118" i="2" s="1"/>
  <c r="J153" i="2" l="1"/>
</calcChain>
</file>

<file path=xl/sharedStrings.xml><?xml version="1.0" encoding="utf-8"?>
<sst xmlns="http://schemas.openxmlformats.org/spreadsheetml/2006/main" count="744" uniqueCount="450">
  <si>
    <t>Prepared By:</t>
    <phoneticPr fontId="1" type="noConversion"/>
  </si>
  <si>
    <t xml:space="preserve">Updated on: </t>
    <phoneticPr fontId="1" type="noConversion"/>
  </si>
  <si>
    <t>Interim Payment No.</t>
    <phoneticPr fontId="1" type="noConversion"/>
  </si>
  <si>
    <t>Payment Application</t>
    <phoneticPr fontId="1" type="noConversion"/>
  </si>
  <si>
    <t>Applied Date</t>
    <phoneticPr fontId="1" type="noConversion"/>
  </si>
  <si>
    <t>Payment Certificate Date</t>
    <phoneticPr fontId="1" type="noConversion"/>
  </si>
  <si>
    <t>%</t>
    <phoneticPr fontId="1" type="noConversion"/>
  </si>
  <si>
    <t>TBC</t>
    <phoneticPr fontId="1" type="noConversion"/>
  </si>
  <si>
    <t>Invoice Date</t>
    <phoneticPr fontId="1" type="noConversion"/>
  </si>
  <si>
    <t>Invoice No.</t>
    <phoneticPr fontId="1" type="noConversion"/>
  </si>
  <si>
    <t>Company Name</t>
    <phoneticPr fontId="1" type="noConversion"/>
  </si>
  <si>
    <t>Description</t>
    <phoneticPr fontId="1" type="noConversion"/>
  </si>
  <si>
    <t>MC IP-No.</t>
    <phoneticPr fontId="1" type="noConversion"/>
  </si>
  <si>
    <t>B/C to sub-contractor</t>
    <phoneticPr fontId="1" type="noConversion"/>
  </si>
  <si>
    <t>Total Amount</t>
    <phoneticPr fontId="1" type="noConversion"/>
  </si>
  <si>
    <t>Sub-IP No.</t>
    <phoneticPr fontId="1" type="noConversion"/>
  </si>
  <si>
    <t>Payment Certified Amount</t>
    <phoneticPr fontId="1" type="noConversion"/>
  </si>
  <si>
    <t>糧款期數</t>
    <phoneticPr fontId="1" type="noConversion"/>
  </si>
  <si>
    <t xml:space="preserve">申請糧款日期
</t>
    <phoneticPr fontId="1" type="noConversion"/>
  </si>
  <si>
    <t>Reamrk</t>
    <phoneticPr fontId="1" type="noConversion"/>
  </si>
  <si>
    <t>Company Name (in Chinese)</t>
    <phoneticPr fontId="1" type="noConversion"/>
  </si>
  <si>
    <t>Paid Amount (HK$)</t>
    <phoneticPr fontId="1" type="noConversion"/>
  </si>
  <si>
    <t>Contract Amount  (HK$)</t>
    <phoneticPr fontId="1" type="noConversion"/>
  </si>
  <si>
    <t>Remainder Amount  (HK$)</t>
    <phoneticPr fontId="1" type="noConversion"/>
  </si>
  <si>
    <t>No.</t>
    <phoneticPr fontId="1" type="noConversion"/>
  </si>
  <si>
    <t>Link</t>
    <phoneticPr fontId="1" type="noConversion"/>
  </si>
  <si>
    <t>IP-03</t>
  </si>
  <si>
    <t>IP-04</t>
  </si>
  <si>
    <t>IP-05</t>
  </si>
  <si>
    <t>美博工程服務有限公司</t>
    <phoneticPr fontId="1" type="noConversion"/>
  </si>
  <si>
    <t>IP-06</t>
  </si>
  <si>
    <t>地盤糧期狀況</t>
    <phoneticPr fontId="1" type="noConversion"/>
  </si>
  <si>
    <t>Mepork Engineering Services Limited</t>
  </si>
  <si>
    <t>=HYPERLINK("Q:\Project No. 016A - HKSR PHI Renovation at Pokfulam\P1 - Payment\Payment Records\"&amp;A5&amp;".PDF",A5)</t>
    <phoneticPr fontId="1" type="noConversion"/>
  </si>
  <si>
    <t>Mepork (MC)</t>
    <phoneticPr fontId="1" type="noConversion"/>
  </si>
  <si>
    <t>代支工程總表</t>
    <phoneticPr fontId="1" type="noConversion"/>
  </si>
  <si>
    <t>Item</t>
    <phoneticPr fontId="153" type="noConversion"/>
  </si>
  <si>
    <t>Sub-contractors' No.</t>
    <phoneticPr fontId="153" type="noConversion"/>
  </si>
  <si>
    <t>Sub-contractors' Name</t>
    <phoneticPr fontId="153" type="noConversion"/>
  </si>
  <si>
    <t>SC-002</t>
    <phoneticPr fontId="154" type="noConversion"/>
  </si>
  <si>
    <t>SC-019</t>
  </si>
  <si>
    <t>OA日期</t>
    <phoneticPr fontId="1" type="noConversion"/>
  </si>
  <si>
    <r>
      <t>OA</t>
    </r>
    <r>
      <rPr>
        <b/>
        <u/>
        <sz val="10"/>
        <color theme="1"/>
        <rFont val="細明體"/>
        <family val="3"/>
        <charset val="136"/>
      </rPr>
      <t>編號</t>
    </r>
    <phoneticPr fontId="1" type="noConversion"/>
  </si>
  <si>
    <t>Quotation No.</t>
    <phoneticPr fontId="1" type="noConversion"/>
  </si>
  <si>
    <t>Pokfulam No. 599 Transfer to WCH No.1</t>
    <phoneticPr fontId="1" type="noConversion"/>
  </si>
  <si>
    <t>(a)</t>
    <phoneticPr fontId="1" type="noConversion"/>
  </si>
  <si>
    <t>(b)</t>
    <phoneticPr fontId="1" type="noConversion"/>
  </si>
  <si>
    <t>(c)</t>
    <phoneticPr fontId="1" type="noConversion"/>
  </si>
  <si>
    <t>(d)</t>
    <phoneticPr fontId="1" type="noConversion"/>
  </si>
  <si>
    <t>(e)</t>
    <phoneticPr fontId="1" type="noConversion"/>
  </si>
  <si>
    <t>Mepork Engineering Service Limited</t>
    <phoneticPr fontId="1" type="noConversion"/>
  </si>
  <si>
    <t>Less Expenses :</t>
    <phoneticPr fontId="1" type="noConversion"/>
  </si>
  <si>
    <t>Company Name (in Chinese)</t>
    <phoneticPr fontId="153" type="noConversion"/>
  </si>
  <si>
    <t>Nature of S/C Works</t>
    <phoneticPr fontId="153" type="noConversion"/>
  </si>
  <si>
    <t>Contract Sum</t>
    <phoneticPr fontId="1" type="noConversion"/>
  </si>
  <si>
    <t>VO</t>
    <phoneticPr fontId="1" type="noConversion"/>
  </si>
  <si>
    <t>Revised Contract Sum</t>
    <phoneticPr fontId="1" type="noConversion"/>
  </si>
  <si>
    <t>Remark</t>
    <phoneticPr fontId="153" type="noConversion"/>
  </si>
  <si>
    <t>Contract</t>
    <phoneticPr fontId="1" type="noConversion"/>
  </si>
  <si>
    <t>Sub-contractors' No</t>
    <phoneticPr fontId="1" type="noConversion"/>
  </si>
  <si>
    <t>(A) Sub-total:</t>
    <phoneticPr fontId="1" type="noConversion"/>
  </si>
  <si>
    <t>(B) Sub-total:</t>
    <phoneticPr fontId="1" type="noConversion"/>
  </si>
  <si>
    <t>(D) Total Sum of Profit (TBC):</t>
    <phoneticPr fontId="1" type="noConversion"/>
  </si>
  <si>
    <t>Updated on 12/12/2024</t>
    <phoneticPr fontId="1" type="noConversion"/>
  </si>
  <si>
    <t>(10.6% Profit)</t>
    <phoneticPr fontId="1" type="noConversion"/>
  </si>
  <si>
    <t>OA</t>
    <phoneticPr fontId="154" type="noConversion"/>
  </si>
  <si>
    <t>-</t>
    <phoneticPr fontId="1" type="noConversion"/>
  </si>
  <si>
    <r>
      <rPr>
        <b/>
        <sz val="10"/>
        <rFont val="細明體"/>
        <family val="3"/>
        <charset val="136"/>
      </rPr>
      <t xml:space="preserve">合約會簽表
</t>
    </r>
    <r>
      <rPr>
        <b/>
        <sz val="10"/>
        <rFont val="Times New Roman"/>
        <family val="1"/>
      </rPr>
      <t>(10</t>
    </r>
    <r>
      <rPr>
        <b/>
        <sz val="10"/>
        <rFont val="細明體"/>
        <family val="3"/>
        <charset val="136"/>
      </rPr>
      <t>萬以上</t>
    </r>
    <r>
      <rPr>
        <b/>
        <sz val="10"/>
        <rFont val="Times New Roman"/>
        <family val="1"/>
      </rPr>
      <t>)</t>
    </r>
    <phoneticPr fontId="1" type="noConversion"/>
  </si>
  <si>
    <r>
      <rPr>
        <b/>
        <sz val="10"/>
        <rFont val="細明體"/>
        <family val="3"/>
        <charset val="136"/>
      </rPr>
      <t xml:space="preserve">定標會議紀錄
</t>
    </r>
    <r>
      <rPr>
        <b/>
        <sz val="10"/>
        <rFont val="Times New Roman"/>
        <family val="1"/>
      </rPr>
      <t>(100</t>
    </r>
    <r>
      <rPr>
        <b/>
        <sz val="10"/>
        <rFont val="細明體"/>
        <family val="3"/>
        <charset val="136"/>
      </rPr>
      <t>萬以上</t>
    </r>
    <r>
      <rPr>
        <b/>
        <sz val="10"/>
        <rFont val="Times New Roman"/>
        <family val="1"/>
      </rPr>
      <t>)</t>
    </r>
    <phoneticPr fontId="1" type="noConversion"/>
  </si>
  <si>
    <r>
      <rPr>
        <b/>
        <sz val="10"/>
        <rFont val="細明體"/>
        <family val="3"/>
        <charset val="136"/>
      </rPr>
      <t>報價已簽名</t>
    </r>
    <phoneticPr fontId="1" type="noConversion"/>
  </si>
  <si>
    <r>
      <rPr>
        <b/>
        <sz val="10"/>
        <rFont val="細明體"/>
        <family val="3"/>
        <charset val="136"/>
      </rPr>
      <t>正本已存檔</t>
    </r>
    <phoneticPr fontId="1" type="noConversion"/>
  </si>
  <si>
    <t>Option 1</t>
    <phoneticPr fontId="1" type="noConversion"/>
  </si>
  <si>
    <t>Option 2</t>
    <phoneticPr fontId="1" type="noConversion"/>
  </si>
  <si>
    <t>SC-004</t>
    <phoneticPr fontId="1" type="noConversion"/>
  </si>
  <si>
    <t>Quotation Copy</t>
    <phoneticPr fontId="1" type="noConversion"/>
  </si>
  <si>
    <t>SC-003</t>
    <phoneticPr fontId="1" type="noConversion"/>
  </si>
  <si>
    <t>IP-01</t>
  </si>
  <si>
    <t>IP-02</t>
    <phoneticPr fontId="1" type="noConversion"/>
  </si>
  <si>
    <t>IP-07</t>
  </si>
  <si>
    <t>IP-08</t>
  </si>
  <si>
    <t>IP-09</t>
  </si>
  <si>
    <t>IP-10</t>
  </si>
  <si>
    <t>總收入:</t>
    <phoneticPr fontId="1" type="noConversion"/>
  </si>
  <si>
    <t>總支出:</t>
    <phoneticPr fontId="1" type="noConversion"/>
  </si>
  <si>
    <t>美博批數日期</t>
    <phoneticPr fontId="1" type="noConversion"/>
  </si>
  <si>
    <t>O-007</t>
    <phoneticPr fontId="1" type="noConversion"/>
  </si>
  <si>
    <t>Katie Puk</t>
    <phoneticPr fontId="1" type="noConversion"/>
  </si>
  <si>
    <t>MS_Q1241_24_kp (MTR C9644-24C Extension of Fitness Room at KBD Recreation &amp; Sports Centre)</t>
    <phoneticPr fontId="1" type="noConversion"/>
  </si>
  <si>
    <t>(Project No. MS_Q1241_24)</t>
    <phoneticPr fontId="1" type="noConversion"/>
  </si>
  <si>
    <t>工期</t>
    <phoneticPr fontId="1" type="noConversion"/>
  </si>
  <si>
    <t xml:space="preserve">12/2024 - 01/2026 </t>
    <phoneticPr fontId="1" type="noConversion"/>
  </si>
  <si>
    <t>宏發工程公司</t>
    <phoneticPr fontId="1" type="noConversion"/>
  </si>
  <si>
    <t>Builder's Works</t>
    <phoneticPr fontId="1" type="noConversion"/>
  </si>
  <si>
    <t>宏發建築工程公司</t>
    <phoneticPr fontId="1" type="noConversion"/>
  </si>
  <si>
    <t>FS</t>
    <phoneticPr fontId="1" type="noConversion"/>
  </si>
  <si>
    <t>大同工程有限公司</t>
    <phoneticPr fontId="1" type="noConversion"/>
  </si>
  <si>
    <t>SC-002</t>
    <phoneticPr fontId="1" type="noConversion"/>
  </si>
  <si>
    <t>EL Labour</t>
    <phoneticPr fontId="1" type="noConversion"/>
  </si>
  <si>
    <t>ECS</t>
    <phoneticPr fontId="1" type="noConversion"/>
  </si>
  <si>
    <t>盈泊工程公司</t>
    <phoneticPr fontId="1" type="noConversion"/>
  </si>
  <si>
    <t>O-001</t>
    <phoneticPr fontId="154" type="noConversion"/>
  </si>
  <si>
    <t>REALIFE INSURANCE BROKERS LTD.</t>
    <phoneticPr fontId="1" type="noConversion"/>
  </si>
  <si>
    <t>Insurance - EC</t>
    <phoneticPr fontId="1" type="noConversion"/>
  </si>
  <si>
    <t>OK</t>
    <phoneticPr fontId="1" type="noConversion"/>
  </si>
  <si>
    <t>CHASE ENGINEERING LIMITED</t>
    <phoneticPr fontId="1" type="noConversion"/>
  </si>
  <si>
    <r>
      <rPr>
        <sz val="10"/>
        <rFont val="細明體"/>
        <family val="3"/>
        <charset val="136"/>
      </rPr>
      <t>大同工程有限公司</t>
    </r>
    <phoneticPr fontId="1" type="noConversion"/>
  </si>
  <si>
    <t>Fire Services Installation</t>
    <phoneticPr fontId="1" type="noConversion"/>
  </si>
  <si>
    <t>Quotation saved</t>
    <phoneticPr fontId="1" type="noConversion"/>
  </si>
  <si>
    <t>SC-003</t>
  </si>
  <si>
    <t>WANG FAT CONSTRUCTION CO.</t>
    <phoneticPr fontId="1" type="noConversion"/>
  </si>
  <si>
    <r>
      <rPr>
        <sz val="10"/>
        <rFont val="細明體"/>
        <family val="3"/>
        <charset val="136"/>
      </rPr>
      <t>宏發建築工程公司</t>
    </r>
    <phoneticPr fontId="1" type="noConversion"/>
  </si>
  <si>
    <t>3A</t>
    <phoneticPr fontId="1" type="noConversion"/>
  </si>
  <si>
    <t>SC-003A</t>
    <phoneticPr fontId="1" type="noConversion"/>
  </si>
  <si>
    <r>
      <t xml:space="preserve">Q167/21 </t>
    </r>
    <r>
      <rPr>
        <sz val="10"/>
        <rFont val="微軟正黑體"/>
        <family val="1"/>
        <charset val="136"/>
      </rPr>
      <t>搭架比</t>
    </r>
    <r>
      <rPr>
        <sz val="10"/>
        <rFont val="Times New Roman"/>
        <family val="1"/>
      </rPr>
      <t>EMSD</t>
    </r>
    <r>
      <rPr>
        <sz val="10"/>
        <rFont val="微軟正黑體"/>
        <family val="1"/>
        <charset val="136"/>
      </rPr>
      <t>驗收燈柱</t>
    </r>
    <phoneticPr fontId="1" type="noConversion"/>
  </si>
  <si>
    <t>YING PAK ENGINEERING COMPANY</t>
    <phoneticPr fontId="1" type="noConversion"/>
  </si>
  <si>
    <t>MVAC Installation</t>
    <phoneticPr fontId="1" type="noConversion"/>
  </si>
  <si>
    <t>5A</t>
    <phoneticPr fontId="1" type="noConversion"/>
  </si>
  <si>
    <t>SC-004A</t>
    <phoneticPr fontId="1" type="noConversion"/>
  </si>
  <si>
    <t>代買冷氣機</t>
    <phoneticPr fontId="1" type="noConversion"/>
  </si>
  <si>
    <t>O-005</t>
    <phoneticPr fontId="1" type="noConversion"/>
  </si>
  <si>
    <t>Environmental Protection Department</t>
    <phoneticPr fontId="1" type="noConversion"/>
  </si>
  <si>
    <r>
      <rPr>
        <sz val="10"/>
        <rFont val="細明體"/>
        <family val="3"/>
        <charset val="136"/>
      </rPr>
      <t>環境保護署</t>
    </r>
    <phoneticPr fontId="1" type="noConversion"/>
  </si>
  <si>
    <t>Waste Dispoal</t>
    <phoneticPr fontId="1" type="noConversion"/>
  </si>
  <si>
    <t>$15,000 Deposit</t>
    <phoneticPr fontId="1" type="noConversion"/>
  </si>
  <si>
    <t>O-006</t>
    <phoneticPr fontId="1" type="noConversion"/>
  </si>
  <si>
    <t>FIRE EXTINGUISHER SAFETY CONSULTANT</t>
    <phoneticPr fontId="1" type="noConversion"/>
  </si>
  <si>
    <t>滅火筒安全顧問</t>
    <phoneticPr fontId="1" type="noConversion"/>
  </si>
  <si>
    <t>Safety</t>
    <phoneticPr fontId="1" type="noConversion"/>
  </si>
  <si>
    <t>O-006.1</t>
    <phoneticPr fontId="1" type="noConversion"/>
  </si>
  <si>
    <t>Safety Review</t>
    <phoneticPr fontId="1" type="noConversion"/>
  </si>
  <si>
    <t>MTR</t>
    <phoneticPr fontId="1" type="noConversion"/>
  </si>
  <si>
    <t>CP Training</t>
    <phoneticPr fontId="1" type="noConversion"/>
  </si>
  <si>
    <t>SC-008</t>
    <phoneticPr fontId="1" type="noConversion"/>
  </si>
  <si>
    <t>WAH MAN ENGINEERING COMPANY</t>
    <phoneticPr fontId="1" type="noConversion"/>
  </si>
  <si>
    <t>華文工程有限公司</t>
    <phoneticPr fontId="1" type="noConversion"/>
  </si>
  <si>
    <t>Design of Hoarding</t>
    <phoneticPr fontId="1" type="noConversion"/>
  </si>
  <si>
    <t>SC-008.1</t>
    <phoneticPr fontId="1" type="noConversion"/>
  </si>
  <si>
    <t>Structural Engineering Consultancy</t>
    <phoneticPr fontId="1" type="noConversion"/>
  </si>
  <si>
    <t>O-009</t>
    <phoneticPr fontId="1" type="noConversion"/>
  </si>
  <si>
    <t>UCMG</t>
    <phoneticPr fontId="1" type="noConversion"/>
  </si>
  <si>
    <t>聯康醫療</t>
    <phoneticPr fontId="1" type="noConversion"/>
  </si>
  <si>
    <t>Body Check</t>
    <phoneticPr fontId="1" type="noConversion"/>
  </si>
  <si>
    <t>SC-010</t>
    <phoneticPr fontId="1" type="noConversion"/>
  </si>
  <si>
    <t>CHIU MING COMPANY LIMITED</t>
    <phoneticPr fontId="1" type="noConversion"/>
  </si>
  <si>
    <t>照明工程有限公司</t>
    <phoneticPr fontId="1" type="noConversion"/>
  </si>
  <si>
    <t>EL</t>
    <phoneticPr fontId="1" type="noConversion"/>
  </si>
  <si>
    <t>M-011.1</t>
    <phoneticPr fontId="1" type="noConversion"/>
  </si>
  <si>
    <t>SHUN SHING ELECTRICALS CO. LTD</t>
    <phoneticPr fontId="1" type="noConversion"/>
  </si>
  <si>
    <t>信成電器材料有限公司</t>
    <phoneticPr fontId="1" type="noConversion"/>
  </si>
  <si>
    <t>EL - Material</t>
    <phoneticPr fontId="1" type="noConversion"/>
  </si>
  <si>
    <t>M-011.2</t>
  </si>
  <si>
    <t>M-011.3</t>
  </si>
  <si>
    <t>M-011.4</t>
  </si>
  <si>
    <t>M-011.5</t>
  </si>
  <si>
    <t>M-011.6</t>
    <phoneticPr fontId="1" type="noConversion"/>
  </si>
  <si>
    <t>M-011.7</t>
    <phoneticPr fontId="1" type="noConversion"/>
  </si>
  <si>
    <t>M-011.8</t>
    <phoneticPr fontId="1" type="noConversion"/>
  </si>
  <si>
    <t>O-012</t>
    <phoneticPr fontId="1" type="noConversion"/>
  </si>
  <si>
    <t>CONSTRUCTION INDUSTRY COUNCIL</t>
    <phoneticPr fontId="1" type="noConversion"/>
  </si>
  <si>
    <t>建造業議會</t>
    <phoneticPr fontId="1" type="noConversion"/>
  </si>
  <si>
    <t>Levies</t>
    <phoneticPr fontId="1" type="noConversion"/>
  </si>
  <si>
    <t>O-013</t>
    <phoneticPr fontId="1" type="noConversion"/>
  </si>
  <si>
    <t>Miscellaneous</t>
    <phoneticPr fontId="1" type="noConversion"/>
  </si>
  <si>
    <t>O-014</t>
    <phoneticPr fontId="1" type="noConversion"/>
  </si>
  <si>
    <t>PNEUMOCONIOSIS COMPENSATION FUND BOARD</t>
    <phoneticPr fontId="1" type="noConversion"/>
  </si>
  <si>
    <t>肺塵埃沉着病補償基金委員會</t>
    <phoneticPr fontId="1" type="noConversion"/>
  </si>
  <si>
    <t>M-015</t>
    <phoneticPr fontId="1" type="noConversion"/>
  </si>
  <si>
    <t>ALCO LIGHTING (H.K.) LTD</t>
    <phoneticPr fontId="1" type="noConversion"/>
  </si>
  <si>
    <t>Light fitting</t>
    <phoneticPr fontId="1" type="noConversion"/>
  </si>
  <si>
    <t>UCEM</t>
    <phoneticPr fontId="1" type="noConversion"/>
  </si>
  <si>
    <t>Firewood Engineering Ltd.</t>
    <phoneticPr fontId="1" type="noConversion"/>
  </si>
  <si>
    <t>積富工程有限公司</t>
    <phoneticPr fontId="1" type="noConversion"/>
  </si>
  <si>
    <t>CP(NT)/Fire Marshal</t>
    <phoneticPr fontId="1" type="noConversion"/>
  </si>
  <si>
    <t>M-0XX</t>
    <phoneticPr fontId="1" type="noConversion"/>
  </si>
  <si>
    <t>Material</t>
    <phoneticPr fontId="1" type="noConversion"/>
  </si>
  <si>
    <t>SC-0XX</t>
    <phoneticPr fontId="1" type="noConversion"/>
  </si>
  <si>
    <t>Sub-Contractor</t>
    <phoneticPr fontId="1" type="noConversion"/>
  </si>
  <si>
    <t>O-0XX</t>
    <phoneticPr fontId="1" type="noConversion"/>
  </si>
  <si>
    <t>Other</t>
    <phoneticPr fontId="1" type="noConversion"/>
  </si>
  <si>
    <t>I0482530</t>
    <phoneticPr fontId="1" type="noConversion"/>
  </si>
  <si>
    <t>O-001</t>
    <phoneticPr fontId="1" type="noConversion"/>
  </si>
  <si>
    <t>Q-CEL-FS-2411-01</t>
    <phoneticPr fontId="1" type="noConversion"/>
  </si>
  <si>
    <t>12024180</t>
    <phoneticPr fontId="1" type="noConversion"/>
  </si>
  <si>
    <t>705330010</t>
    <phoneticPr fontId="1" type="noConversion"/>
  </si>
  <si>
    <t>INV2/1/2025</t>
    <phoneticPr fontId="1" type="noConversion"/>
  </si>
  <si>
    <t>O-006</t>
  </si>
  <si>
    <t>25/1/2025</t>
    <phoneticPr fontId="1" type="noConversion"/>
  </si>
  <si>
    <t>102-004363-001</t>
    <phoneticPr fontId="1" type="noConversion"/>
  </si>
  <si>
    <t>O-007</t>
  </si>
  <si>
    <t>INV13/2/2025</t>
    <phoneticPr fontId="1" type="noConversion"/>
  </si>
  <si>
    <t>INV10/3/2025</t>
    <phoneticPr fontId="1" type="noConversion"/>
  </si>
  <si>
    <t>DN18553-QL</t>
    <phoneticPr fontId="1" type="noConversion"/>
  </si>
  <si>
    <t>O-009</t>
  </si>
  <si>
    <t>INV 1/4/2025</t>
    <phoneticPr fontId="1" type="noConversion"/>
  </si>
  <si>
    <t>DN18593-QL</t>
    <phoneticPr fontId="1" type="noConversion"/>
  </si>
  <si>
    <t>INV 2/4/2025</t>
    <phoneticPr fontId="1" type="noConversion"/>
  </si>
  <si>
    <t>O-006.1</t>
  </si>
  <si>
    <t>P24-28</t>
    <phoneticPr fontId="1" type="noConversion"/>
  </si>
  <si>
    <t>MB-202402b</t>
    <phoneticPr fontId="1" type="noConversion"/>
  </si>
  <si>
    <t>INV 15/5/2025</t>
    <phoneticPr fontId="1" type="noConversion"/>
  </si>
  <si>
    <t>DN3347788</t>
    <phoneticPr fontId="1" type="noConversion"/>
  </si>
  <si>
    <t>O-012</t>
  </si>
  <si>
    <t>INV3//2025</t>
    <phoneticPr fontId="1" type="noConversion"/>
  </si>
  <si>
    <t>DN3581600</t>
    <phoneticPr fontId="1" type="noConversion"/>
  </si>
  <si>
    <t>DN18711-QL</t>
    <phoneticPr fontId="1" type="noConversion"/>
  </si>
  <si>
    <t>64440</t>
    <phoneticPr fontId="1" type="noConversion"/>
  </si>
  <si>
    <t>M-011.1</t>
  </si>
  <si>
    <t>64331</t>
    <phoneticPr fontId="1" type="noConversion"/>
  </si>
  <si>
    <t>64187</t>
    <phoneticPr fontId="1" type="noConversion"/>
  </si>
  <si>
    <t>64286</t>
    <phoneticPr fontId="1" type="noConversion"/>
  </si>
  <si>
    <t>M-011.4</t>
    <phoneticPr fontId="1" type="noConversion"/>
  </si>
  <si>
    <t>64272</t>
    <phoneticPr fontId="1" type="noConversion"/>
  </si>
  <si>
    <t>M-011.5</t>
    <phoneticPr fontId="1" type="noConversion"/>
  </si>
  <si>
    <t>INV14/7/2025</t>
    <phoneticPr fontId="1" type="noConversion"/>
  </si>
  <si>
    <t>12025082</t>
    <phoneticPr fontId="1" type="noConversion"/>
  </si>
  <si>
    <t>IVA01106-25</t>
    <phoneticPr fontId="1" type="noConversion"/>
  </si>
  <si>
    <t>M-015</t>
  </si>
  <si>
    <t>12025064</t>
    <phoneticPr fontId="1" type="noConversion"/>
  </si>
  <si>
    <t>705330028</t>
    <phoneticPr fontId="1" type="noConversion"/>
  </si>
  <si>
    <t>64555</t>
    <phoneticPr fontId="1" type="noConversion"/>
  </si>
  <si>
    <t>64426</t>
    <phoneticPr fontId="1" type="noConversion"/>
  </si>
  <si>
    <t>64425</t>
    <phoneticPr fontId="1" type="noConversion"/>
  </si>
  <si>
    <t>SC-008.1</t>
  </si>
  <si>
    <t>DN2507000481</t>
    <phoneticPr fontId="1" type="noConversion"/>
  </si>
  <si>
    <t>SC-002</t>
  </si>
  <si>
    <t>DN2507000479</t>
    <phoneticPr fontId="1" type="noConversion"/>
  </si>
  <si>
    <t>INV-WF-20250519</t>
    <phoneticPr fontId="1" type="noConversion"/>
  </si>
  <si>
    <t>12025088</t>
    <phoneticPr fontId="1" type="noConversion"/>
  </si>
  <si>
    <t>3022374</t>
    <phoneticPr fontId="1" type="noConversion"/>
  </si>
  <si>
    <t>O-013</t>
    <phoneticPr fontId="1" type="noConversion"/>
  </si>
  <si>
    <t>Insurance - EC</t>
  </si>
  <si>
    <t>恒傑保險業務有限公司</t>
    <phoneticPr fontId="1" type="noConversion"/>
  </si>
  <si>
    <t>恒傑保險業務有限公司</t>
    <phoneticPr fontId="1" type="noConversion"/>
  </si>
  <si>
    <t>宏發建築工程公司</t>
  </si>
  <si>
    <t>(390天)</t>
  </si>
  <si>
    <t>總承建商(MC):</t>
    <phoneticPr fontId="1" type="noConversion"/>
  </si>
  <si>
    <t>承包商(SUB-CON):</t>
    <phoneticPr fontId="1" type="noConversion"/>
  </si>
  <si>
    <t>承建金額:</t>
    <phoneticPr fontId="1" type="noConversion"/>
  </si>
  <si>
    <t>(C) = (A) - (B) 利潤:</t>
    <phoneticPr fontId="1" type="noConversion"/>
  </si>
  <si>
    <t>(E) 預計利潤:</t>
    <phoneticPr fontId="1" type="noConversion"/>
  </si>
  <si>
    <t>(F) = (E) - (D) 其他項目支出:</t>
    <phoneticPr fontId="1" type="noConversion"/>
  </si>
  <si>
    <t>承包商(SUB-CON)</t>
    <phoneticPr fontId="1" type="noConversion"/>
  </si>
  <si>
    <r>
      <rPr>
        <sz val="12"/>
        <color theme="1"/>
        <rFont val="微軟正黑體"/>
        <family val="2"/>
        <charset val="136"/>
      </rPr>
      <t>申請工程金額
HK$</t>
    </r>
    <phoneticPr fontId="1" type="noConversion"/>
  </si>
  <si>
    <t>申請工程金額
百分比</t>
    <phoneticPr fontId="1" type="noConversion"/>
  </si>
  <si>
    <r>
      <rPr>
        <sz val="12"/>
        <color theme="1"/>
        <rFont val="微軟正黑體"/>
        <family val="2"/>
        <charset val="136"/>
      </rPr>
      <t>收入
（則師批款)
HK$</t>
    </r>
    <phoneticPr fontId="1" type="noConversion"/>
  </si>
  <si>
    <t>則師批款
百分比</t>
    <phoneticPr fontId="1" type="noConversion"/>
  </si>
  <si>
    <t>則師批數日期</t>
    <phoneticPr fontId="1" type="noConversion"/>
  </si>
  <si>
    <r>
      <rPr>
        <sz val="12"/>
        <color theme="1"/>
        <rFont val="微軟正黑體"/>
        <family val="2"/>
        <charset val="136"/>
      </rPr>
      <t>支出
（美博批款)
HK$</t>
    </r>
    <phoneticPr fontId="1" type="noConversion"/>
  </si>
  <si>
    <t>墊支:</t>
    <phoneticPr fontId="1" type="noConversion"/>
  </si>
  <si>
    <t>Q167/21 搭架比EMSD驗收燈柱</t>
    <phoneticPr fontId="1" type="noConversion"/>
  </si>
  <si>
    <t>INV13/8/2025</t>
    <phoneticPr fontId="1" type="noConversion"/>
  </si>
  <si>
    <t>250713</t>
    <phoneticPr fontId="1" type="noConversion"/>
  </si>
  <si>
    <r>
      <t xml:space="preserve">$1,500/CP(NT)
$1,450/Fire Marshal
</t>
    </r>
    <r>
      <rPr>
        <sz val="10"/>
        <rFont val="新細明體"/>
        <family val="1"/>
        <charset val="136"/>
      </rPr>
      <t>扣判頭</t>
    </r>
    <phoneticPr fontId="1" type="noConversion"/>
  </si>
  <si>
    <t>扣宏發</t>
    <phoneticPr fontId="1" type="noConversion"/>
  </si>
  <si>
    <t>M-011.12</t>
  </si>
  <si>
    <t>M-011.9</t>
    <phoneticPr fontId="1" type="noConversion"/>
  </si>
  <si>
    <t>M-011.13</t>
  </si>
  <si>
    <t>扣宏發</t>
    <phoneticPr fontId="1" type="noConversion"/>
  </si>
  <si>
    <t>扣盈泊</t>
    <phoneticPr fontId="1" type="noConversion"/>
  </si>
  <si>
    <t>SC-004</t>
    <phoneticPr fontId="1" type="noConversion"/>
  </si>
  <si>
    <t>12025105</t>
    <phoneticPr fontId="1" type="noConversion"/>
  </si>
  <si>
    <t>9/9/205</t>
    <phoneticPr fontId="1" type="noConversion"/>
  </si>
  <si>
    <t>P24-28</t>
  </si>
  <si>
    <t>50A</t>
    <phoneticPr fontId="1" type="noConversion"/>
  </si>
  <si>
    <t>M-011.15</t>
    <phoneticPr fontId="1" type="noConversion"/>
  </si>
  <si>
    <t>64769</t>
    <phoneticPr fontId="1" type="noConversion"/>
  </si>
  <si>
    <t>M-011.14</t>
    <phoneticPr fontId="1" type="noConversion"/>
  </si>
  <si>
    <t>64768</t>
    <phoneticPr fontId="1" type="noConversion"/>
  </si>
  <si>
    <t>705330028</t>
    <phoneticPr fontId="1" type="noConversion"/>
  </si>
  <si>
    <t>O-005</t>
    <phoneticPr fontId="1" type="noConversion"/>
  </si>
  <si>
    <t>M-011.10</t>
    <phoneticPr fontId="1" type="noConversion"/>
  </si>
  <si>
    <t>64864</t>
    <phoneticPr fontId="1" type="noConversion"/>
  </si>
  <si>
    <t>M-011.13</t>
    <phoneticPr fontId="1" type="noConversion"/>
  </si>
  <si>
    <t>64846</t>
    <phoneticPr fontId="1" type="noConversion"/>
  </si>
  <si>
    <t>64884</t>
    <phoneticPr fontId="1" type="noConversion"/>
  </si>
  <si>
    <t>M-011.12</t>
    <phoneticPr fontId="1" type="noConversion"/>
  </si>
  <si>
    <t>M-011.11</t>
    <phoneticPr fontId="1" type="noConversion"/>
  </si>
  <si>
    <t>64767</t>
    <phoneticPr fontId="1" type="noConversion"/>
  </si>
  <si>
    <t>M-011.9</t>
    <phoneticPr fontId="1" type="noConversion"/>
  </si>
  <si>
    <t>64827</t>
    <phoneticPr fontId="1" type="noConversion"/>
  </si>
  <si>
    <t>O-006</t>
    <phoneticPr fontId="1" type="noConversion"/>
  </si>
  <si>
    <t>INV16/9/2025</t>
    <phoneticPr fontId="1" type="noConversion"/>
  </si>
  <si>
    <t>O-012</t>
    <phoneticPr fontId="1" type="noConversion"/>
  </si>
  <si>
    <t>DN3400538</t>
    <phoneticPr fontId="1" type="noConversion"/>
  </si>
  <si>
    <t>O-014</t>
    <phoneticPr fontId="1" type="noConversion"/>
  </si>
  <si>
    <t>DN3648839</t>
    <phoneticPr fontId="1" type="noConversion"/>
  </si>
  <si>
    <t>O-005</t>
    <phoneticPr fontId="1" type="noConversion"/>
  </si>
  <si>
    <t>705330028</t>
    <phoneticPr fontId="1" type="noConversion"/>
  </si>
  <si>
    <t>INV20/10/2025</t>
    <phoneticPr fontId="1" type="noConversion"/>
  </si>
  <si>
    <t>O-006</t>
    <phoneticPr fontId="1" type="noConversion"/>
  </si>
  <si>
    <t>12025121</t>
    <phoneticPr fontId="1" type="noConversion"/>
  </si>
  <si>
    <t>M-011.17</t>
    <phoneticPr fontId="1" type="noConversion"/>
  </si>
  <si>
    <t>M-011.18</t>
    <phoneticPr fontId="1" type="noConversion"/>
  </si>
  <si>
    <t>2A</t>
    <phoneticPr fontId="1" type="noConversion"/>
  </si>
  <si>
    <t>SC-002A</t>
    <phoneticPr fontId="154" type="noConversion"/>
  </si>
  <si>
    <t>12025132</t>
    <phoneticPr fontId="1" type="noConversion"/>
  </si>
  <si>
    <t>M-011.19</t>
    <phoneticPr fontId="1" type="noConversion"/>
  </si>
  <si>
    <t>65240</t>
    <phoneticPr fontId="1" type="noConversion"/>
  </si>
  <si>
    <t>M-011.17</t>
    <phoneticPr fontId="1" type="noConversion"/>
  </si>
  <si>
    <t>65083</t>
    <phoneticPr fontId="1" type="noConversion"/>
  </si>
  <si>
    <t>M-011.16</t>
    <phoneticPr fontId="1" type="noConversion"/>
  </si>
  <si>
    <t>65077</t>
    <phoneticPr fontId="1" type="noConversion"/>
  </si>
  <si>
    <t>M-011.18</t>
    <phoneticPr fontId="1" type="noConversion"/>
  </si>
  <si>
    <t>65088</t>
    <phoneticPr fontId="1" type="noConversion"/>
  </si>
  <si>
    <t>O-006</t>
    <phoneticPr fontId="1" type="noConversion"/>
  </si>
  <si>
    <t>INV18/11/2025</t>
    <phoneticPr fontId="1" type="noConversion"/>
  </si>
  <si>
    <t>SC-003</t>
    <phoneticPr fontId="1" type="noConversion"/>
  </si>
  <si>
    <t>SC-004</t>
    <phoneticPr fontId="1" type="noConversion"/>
  </si>
  <si>
    <t>12025137</t>
    <phoneticPr fontId="1" type="noConversion"/>
  </si>
  <si>
    <t>MVAC Installation - IP-02 (VO)</t>
    <phoneticPr fontId="1" type="noConversion"/>
  </si>
  <si>
    <t>MVAC Installation - IP-01</t>
    <phoneticPr fontId="1" type="noConversion"/>
  </si>
  <si>
    <t>MVAC Installation - IP-03</t>
    <phoneticPr fontId="1" type="noConversion"/>
  </si>
  <si>
    <t>MVAC Installation - IP-04</t>
    <phoneticPr fontId="1" type="noConversion"/>
  </si>
  <si>
    <t>MVAC Installation - IP-05</t>
    <phoneticPr fontId="1" type="noConversion"/>
  </si>
  <si>
    <t>MVAC Installation - IP-06</t>
    <phoneticPr fontId="1" type="noConversion"/>
  </si>
  <si>
    <t>MVAC Installation - IP-07</t>
    <phoneticPr fontId="1" type="noConversion"/>
  </si>
  <si>
    <t>MVAC Installation - IP-08</t>
    <phoneticPr fontId="1" type="noConversion"/>
  </si>
  <si>
    <t>Supply Smoke Detector</t>
    <phoneticPr fontId="1" type="noConversion"/>
  </si>
  <si>
    <t>Q-CEL-FS-2411-01-VO-01-R1</t>
    <phoneticPr fontId="1" type="noConversion"/>
  </si>
  <si>
    <t>SC-002A</t>
    <phoneticPr fontId="1" type="noConversion"/>
  </si>
  <si>
    <t>扣宏發</t>
    <phoneticPr fontId="1" type="noConversion"/>
  </si>
  <si>
    <t>SC-010</t>
    <phoneticPr fontId="1" type="noConversion"/>
  </si>
  <si>
    <t>O-013</t>
    <phoneticPr fontId="1" type="noConversion"/>
  </si>
  <si>
    <t>SC-010.1</t>
    <phoneticPr fontId="1" type="noConversion"/>
  </si>
  <si>
    <t>EL - VO-01 (EI-01)</t>
    <phoneticPr fontId="1" type="noConversion"/>
  </si>
  <si>
    <t>O-013</t>
    <phoneticPr fontId="1" type="noConversion"/>
  </si>
  <si>
    <t>INV26/12/2025</t>
    <phoneticPr fontId="1" type="noConversion"/>
  </si>
  <si>
    <t>SC-010.1</t>
    <phoneticPr fontId="1" type="noConversion"/>
  </si>
  <si>
    <t>環境保護署</t>
    <phoneticPr fontId="1" type="noConversion"/>
  </si>
  <si>
    <t>O-006 &amp; O-006.1</t>
    <phoneticPr fontId="1" type="noConversion"/>
  </si>
  <si>
    <t>(f)</t>
    <phoneticPr fontId="1" type="noConversion"/>
  </si>
  <si>
    <t>華文工程有限公司</t>
    <phoneticPr fontId="1" type="noConversion"/>
  </si>
  <si>
    <t>SC-008 &amp; SC-008.1</t>
    <phoneticPr fontId="1" type="noConversion"/>
  </si>
  <si>
    <t>照明工程有限公司</t>
    <phoneticPr fontId="1" type="noConversion"/>
  </si>
  <si>
    <t>Design of Hoarding, SE</t>
    <phoneticPr fontId="1" type="noConversion"/>
  </si>
  <si>
    <t>SC-010 &amp; SC-010.1</t>
    <phoneticPr fontId="1" type="noConversion"/>
  </si>
  <si>
    <t>M-011.1 - M-011.19</t>
    <phoneticPr fontId="1" type="noConversion"/>
  </si>
  <si>
    <t>Remark:</t>
    <phoneticPr fontId="1" type="noConversion"/>
  </si>
  <si>
    <t>CP 扣判頭</t>
    <phoneticPr fontId="1" type="noConversion"/>
  </si>
  <si>
    <t>M-011.20</t>
    <phoneticPr fontId="1" type="noConversion"/>
  </si>
  <si>
    <t>65300</t>
    <phoneticPr fontId="1" type="noConversion"/>
  </si>
  <si>
    <t>SHUN SHING ELECTRICALS CO. LTD</t>
  </si>
  <si>
    <t>信成電器材料有限公司</t>
  </si>
  <si>
    <t>EL - Material</t>
  </si>
  <si>
    <t>M-011.22</t>
    <phoneticPr fontId="1" type="noConversion"/>
  </si>
  <si>
    <t>O-005</t>
    <phoneticPr fontId="1" type="noConversion"/>
  </si>
  <si>
    <t>705330028</t>
    <phoneticPr fontId="1" type="noConversion"/>
  </si>
  <si>
    <t>1A</t>
    <phoneticPr fontId="1" type="noConversion"/>
  </si>
  <si>
    <t>O-001.1</t>
    <phoneticPr fontId="1" type="noConversion"/>
  </si>
  <si>
    <t>Insurance - EC Extension</t>
    <phoneticPr fontId="1" type="noConversion"/>
  </si>
  <si>
    <t>I0521885</t>
    <phoneticPr fontId="1" type="noConversion"/>
  </si>
  <si>
    <t>$16,000 / month</t>
    <phoneticPr fontId="1" type="noConversion"/>
  </si>
  <si>
    <t>O-006</t>
    <phoneticPr fontId="1" type="noConversion"/>
  </si>
  <si>
    <t>INV05/2/2026</t>
    <phoneticPr fontId="1" type="noConversion"/>
  </si>
  <si>
    <t>705330028</t>
    <phoneticPr fontId="1" type="noConversion"/>
  </si>
  <si>
    <t>O-005</t>
    <phoneticPr fontId="1" type="noConversion"/>
  </si>
  <si>
    <t>SC-003</t>
    <phoneticPr fontId="1" type="noConversion"/>
  </si>
  <si>
    <t>DN3717931</t>
    <phoneticPr fontId="1" type="noConversion"/>
  </si>
  <si>
    <t>SC-010</t>
    <phoneticPr fontId="1" type="noConversion"/>
  </si>
  <si>
    <t>P24-28</t>
    <phoneticPr fontId="1" type="noConversion"/>
  </si>
  <si>
    <t>O-016</t>
    <phoneticPr fontId="1" type="noConversion"/>
  </si>
  <si>
    <t>O-017</t>
    <phoneticPr fontId="1" type="noConversion"/>
  </si>
  <si>
    <t>O-006</t>
    <phoneticPr fontId="1" type="noConversion"/>
  </si>
  <si>
    <t>INV9/3/2026</t>
    <phoneticPr fontId="1" type="noConversion"/>
  </si>
  <si>
    <t>INV10/3/2026</t>
    <phoneticPr fontId="1" type="noConversion"/>
  </si>
  <si>
    <t>財務會作調撥(人工分攤)</t>
    <phoneticPr fontId="1" type="noConversion"/>
  </si>
  <si>
    <t>3B</t>
    <phoneticPr fontId="1" type="noConversion"/>
  </si>
  <si>
    <t>SC-003B</t>
    <phoneticPr fontId="1" type="noConversion"/>
  </si>
  <si>
    <r>
      <t xml:space="preserve">Tony </t>
    </r>
    <r>
      <rPr>
        <sz val="10"/>
        <rFont val="新細明體"/>
        <family val="1"/>
        <charset val="136"/>
      </rPr>
      <t>帳款</t>
    </r>
    <phoneticPr fontId="1" type="noConversion"/>
  </si>
  <si>
    <t>O-014</t>
  </si>
  <si>
    <t>DN3760238</t>
    <phoneticPr fontId="1" type="noConversion"/>
  </si>
  <si>
    <t>SC-004</t>
    <phoneticPr fontId="1" type="noConversion"/>
  </si>
  <si>
    <t>12025160</t>
    <phoneticPr fontId="1" type="noConversion"/>
  </si>
  <si>
    <t>O-012</t>
    <phoneticPr fontId="1" type="noConversion"/>
  </si>
  <si>
    <t>DN3480340</t>
    <phoneticPr fontId="1" type="noConversion"/>
  </si>
  <si>
    <t>EL - IP-12</t>
    <phoneticPr fontId="1" type="noConversion"/>
  </si>
  <si>
    <t>EL - IP-11</t>
    <phoneticPr fontId="1" type="noConversion"/>
  </si>
  <si>
    <t>EL - IP-10</t>
    <phoneticPr fontId="1" type="noConversion"/>
  </si>
  <si>
    <t>EL - IP-08</t>
    <phoneticPr fontId="1" type="noConversion"/>
  </si>
  <si>
    <t>EL - IP-07</t>
    <phoneticPr fontId="1" type="noConversion"/>
  </si>
  <si>
    <t>EL - IP-06</t>
    <phoneticPr fontId="1" type="noConversion"/>
  </si>
  <si>
    <t>EL - IP-05</t>
    <phoneticPr fontId="1" type="noConversion"/>
  </si>
  <si>
    <t>EL - IP-04</t>
    <phoneticPr fontId="1" type="noConversion"/>
  </si>
  <si>
    <t>EL - IP-03</t>
    <phoneticPr fontId="1" type="noConversion"/>
  </si>
  <si>
    <t>EL - IP-02</t>
    <phoneticPr fontId="1" type="noConversion"/>
  </si>
  <si>
    <t>EL - IP-01</t>
    <phoneticPr fontId="1" type="noConversion"/>
  </si>
  <si>
    <t>P24-28</t>
    <phoneticPr fontId="1" type="noConversion"/>
  </si>
  <si>
    <t>M-015.1</t>
    <phoneticPr fontId="1" type="noConversion"/>
  </si>
  <si>
    <t>SC-003B</t>
    <phoneticPr fontId="1" type="noConversion"/>
  </si>
  <si>
    <t>M-015.1</t>
    <phoneticPr fontId="1" type="noConversion"/>
  </si>
  <si>
    <t>P24-28</t>
    <phoneticPr fontId="1" type="noConversion"/>
  </si>
  <si>
    <t>EL - IP-09(VO-01 (EI-01))</t>
    <phoneticPr fontId="1" type="noConversion"/>
  </si>
  <si>
    <t>EL - IP-13</t>
    <phoneticPr fontId="1" type="noConversion"/>
  </si>
  <si>
    <t>EL - IP-14(VO-01 (EI-01))</t>
    <phoneticPr fontId="1" type="noConversion"/>
  </si>
  <si>
    <t>SC-010.1</t>
    <phoneticPr fontId="1" type="noConversion"/>
  </si>
  <si>
    <t>M-011.22</t>
  </si>
  <si>
    <t>M-011.27</t>
  </si>
  <si>
    <t>M-011.28</t>
  </si>
  <si>
    <t>M-011.29</t>
  </si>
  <si>
    <t>M-011.30</t>
  </si>
  <si>
    <t>M-011.31</t>
  </si>
  <si>
    <t>SC-003</t>
    <phoneticPr fontId="1" type="noConversion"/>
  </si>
  <si>
    <t>M-011.20</t>
    <phoneticPr fontId="1" type="noConversion"/>
  </si>
  <si>
    <t>65758</t>
    <phoneticPr fontId="1" type="noConversion"/>
  </si>
  <si>
    <t>M-011.25</t>
    <phoneticPr fontId="1" type="noConversion"/>
  </si>
  <si>
    <t>65581</t>
    <phoneticPr fontId="1" type="noConversion"/>
  </si>
  <si>
    <t>M-011.24</t>
    <phoneticPr fontId="1" type="noConversion"/>
  </si>
  <si>
    <t>65617</t>
    <phoneticPr fontId="1" type="noConversion"/>
  </si>
  <si>
    <t>M-011.23</t>
    <phoneticPr fontId="1" type="noConversion"/>
  </si>
  <si>
    <t>65579</t>
    <phoneticPr fontId="1" type="noConversion"/>
  </si>
  <si>
    <t>4/32/2026</t>
    <phoneticPr fontId="1" type="noConversion"/>
  </si>
  <si>
    <t>65750</t>
    <phoneticPr fontId="1" type="noConversion"/>
  </si>
  <si>
    <t>M-011.21</t>
    <phoneticPr fontId="1" type="noConversion"/>
  </si>
  <si>
    <t>O-005</t>
    <phoneticPr fontId="1" type="noConversion"/>
  </si>
  <si>
    <t>705330028</t>
    <phoneticPr fontId="1" type="noConversion"/>
  </si>
  <si>
    <t>O-006</t>
    <phoneticPr fontId="1" type="noConversion"/>
  </si>
  <si>
    <t>INV5/5/2026</t>
    <phoneticPr fontId="1" type="noConversion"/>
  </si>
  <si>
    <t>M-011.26</t>
    <phoneticPr fontId="1" type="noConversion"/>
  </si>
  <si>
    <t>O-018</t>
    <phoneticPr fontId="1" type="noConversion"/>
  </si>
  <si>
    <t>South China Inspection &amp; Testing Ltd.</t>
    <phoneticPr fontId="1" type="noConversion"/>
  </si>
  <si>
    <t>華南檢測有限公司</t>
    <phoneticPr fontId="1" type="noConversion"/>
  </si>
  <si>
    <t>Testing</t>
    <phoneticPr fontId="1" type="noConversion"/>
  </si>
  <si>
    <r>
      <rPr>
        <b/>
        <sz val="12"/>
        <color theme="1"/>
        <rFont val="微軟正黑體"/>
        <family val="2"/>
        <charset val="136"/>
      </rPr>
      <t>總承建商</t>
    </r>
    <r>
      <rPr>
        <b/>
        <sz val="12"/>
        <color theme="1"/>
        <rFont val="Times New Roman"/>
        <family val="1"/>
      </rPr>
      <t>(MC):</t>
    </r>
    <phoneticPr fontId="1" type="noConversion"/>
  </si>
  <si>
    <t>Mepork Engineering Services Limited</t>
    <phoneticPr fontId="1" type="noConversion"/>
  </si>
  <si>
    <r>
      <rPr>
        <sz val="12"/>
        <color theme="1"/>
        <rFont val="微軟正黑體"/>
        <family val="2"/>
        <charset val="136"/>
      </rPr>
      <t>承建金額</t>
    </r>
    <r>
      <rPr>
        <sz val="12"/>
        <color theme="1"/>
        <rFont val="Times New Roman"/>
        <family val="1"/>
      </rPr>
      <t>:</t>
    </r>
    <phoneticPr fontId="1" type="noConversion"/>
  </si>
  <si>
    <t>$1,720,000.00 Contingency</t>
    <phoneticPr fontId="1" type="noConversion"/>
  </si>
  <si>
    <t>(B) Sub-total :</t>
    <phoneticPr fontId="1" type="noConversion"/>
  </si>
  <si>
    <t>Contract Charge</t>
    <phoneticPr fontId="1" type="noConversion"/>
  </si>
  <si>
    <t>(C)Excluded Contract Charge item :</t>
    <phoneticPr fontId="1" type="noConversion"/>
  </si>
  <si>
    <t>*</t>
    <phoneticPr fontId="1" type="noConversion"/>
  </si>
  <si>
    <t>(D) = (B)+(C):</t>
    <phoneticPr fontId="1" type="noConversion"/>
  </si>
  <si>
    <r>
      <t>(E) = (A)-(D)</t>
    </r>
    <r>
      <rPr>
        <b/>
        <sz val="12"/>
        <color theme="1"/>
        <rFont val="微軟正黑體"/>
        <family val="2"/>
        <charset val="136"/>
      </rPr>
      <t>預計利潤</t>
    </r>
    <r>
      <rPr>
        <b/>
        <sz val="12"/>
        <color theme="1"/>
        <rFont val="Times New Roman"/>
        <family val="1"/>
      </rPr>
      <t>:</t>
    </r>
    <phoneticPr fontId="1" type="noConversion"/>
  </si>
  <si>
    <r>
      <rPr>
        <b/>
        <sz val="12"/>
        <color theme="1"/>
        <rFont val="微軟正黑體"/>
        <family val="2"/>
        <charset val="136"/>
      </rPr>
      <t>預計利潤</t>
    </r>
    <r>
      <rPr>
        <b/>
        <sz val="12"/>
        <color theme="1"/>
        <rFont val="新細明體"/>
        <family val="2"/>
        <charset val="136"/>
      </rPr>
      <t>率</t>
    </r>
    <r>
      <rPr>
        <b/>
        <sz val="12"/>
        <color theme="1"/>
        <rFont val="Times New Roman"/>
        <family val="1"/>
      </rPr>
      <t>:</t>
    </r>
    <phoneticPr fontId="1" type="noConversion"/>
  </si>
  <si>
    <r>
      <t>(</t>
    </r>
    <r>
      <rPr>
        <sz val="12"/>
        <color theme="1"/>
        <rFont val="新細明體"/>
        <family val="1"/>
        <charset val="136"/>
      </rPr>
      <t>原預計利潤率</t>
    </r>
    <r>
      <rPr>
        <sz val="12"/>
        <color theme="1"/>
        <rFont val="Times New Roman"/>
        <family val="1"/>
      </rPr>
      <t>6.7%)</t>
    </r>
    <phoneticPr fontId="1" type="noConversion"/>
  </si>
  <si>
    <t>O-006.2</t>
    <phoneticPr fontId="1" type="noConversion"/>
  </si>
  <si>
    <r>
      <t xml:space="preserve">Safety </t>
    </r>
    <r>
      <rPr>
        <sz val="10"/>
        <rFont val="新細明體"/>
        <family val="1"/>
        <charset val="136"/>
      </rPr>
      <t>延期</t>
    </r>
    <phoneticPr fontId="1" type="noConversion"/>
  </si>
  <si>
    <t>O-018.1</t>
    <phoneticPr fontId="1" type="noConversion"/>
  </si>
  <si>
    <t>由宏發建築工程公司代付</t>
    <phoneticPr fontId="1" type="noConversion"/>
  </si>
  <si>
    <t>晴昕工程有限公司</t>
    <phoneticPr fontId="1" type="noConversion"/>
  </si>
  <si>
    <t>CHING YAN ENGINEERING COMPANY LIMITED</t>
    <phoneticPr fontId="1" type="noConversion"/>
  </si>
  <si>
    <r>
      <rPr>
        <sz val="10"/>
        <rFont val="新細明體"/>
        <family val="1"/>
        <charset val="136"/>
      </rPr>
      <t xml:space="preserve">復康會 </t>
    </r>
    <r>
      <rPr>
        <sz val="10"/>
        <rFont val="Times New Roman"/>
        <family val="1"/>
      </rPr>
      <t>No. 752</t>
    </r>
    <r>
      <rPr>
        <sz val="10"/>
        <rFont val="新細明體"/>
        <family val="1"/>
        <charset val="136"/>
      </rPr>
      <t xml:space="preserve"> </t>
    </r>
    <r>
      <rPr>
        <sz val="10"/>
        <rFont val="Times New Roman"/>
        <family val="1"/>
      </rPr>
      <t>To Q1241</t>
    </r>
    <phoneticPr fontId="1" type="noConversion"/>
  </si>
  <si>
    <t>SC-021</t>
  </si>
  <si>
    <t>SC-022</t>
  </si>
  <si>
    <t>SC-023</t>
  </si>
  <si>
    <t>Brilliant Lighting Limited</t>
    <phoneticPr fontId="1" type="noConversion"/>
  </si>
  <si>
    <t>恒亮照明有限公司</t>
    <phoneticPr fontId="1" type="noConversion"/>
  </si>
  <si>
    <r>
      <t>LED Exit Sign,</t>
    </r>
    <r>
      <rPr>
        <sz val="10"/>
        <rFont val="新細明體"/>
        <family val="1"/>
        <charset val="136"/>
      </rPr>
      <t>由</t>
    </r>
    <r>
      <rPr>
        <sz val="10"/>
        <rFont val="Times New Roman"/>
        <family val="1"/>
      </rPr>
      <t xml:space="preserve">Dennis Chan </t>
    </r>
    <r>
      <rPr>
        <sz val="10"/>
        <rFont val="新細明體"/>
        <family val="1"/>
        <charset val="136"/>
      </rPr>
      <t>代付</t>
    </r>
    <phoneticPr fontId="1" type="noConversion"/>
  </si>
  <si>
    <t>SC-020</t>
    <phoneticPr fontId="1" type="noConversion"/>
  </si>
  <si>
    <t>BLSA260430</t>
    <phoneticPr fontId="1" type="noConversion"/>
  </si>
  <si>
    <t>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</si>
</sst>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41" formatCode="_(* #,##0_);_(* \(#,##0\);_(* &quot;-&quot;_);_(@_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&quot;$&quot;* #,##0.00_-;\-&quot;$&quot;* #,##0.00_-;_-&quot;$&quot;* &quot;-&quot;??_-;_-@_-"/>
    <numFmt numFmtId="177" formatCode="_-* #,##0.00_-;\-* #,##0.00_-;_-* &quot;-&quot;??_-;_-@_-"/>
    <numFmt numFmtId="178" formatCode="_ * #,##0.00_ ;_ * \-#,##0.00_ ;_ * &quot;-&quot;??_ ;_ @_ "/>
    <numFmt numFmtId="179" formatCode="yyyy/mm/dd;@"/>
    <numFmt numFmtId="180" formatCode="&quot;IP-&quot;#,##0_);\(&quot;US$&quot;#,##0\)"/>
    <numFmt numFmtId="181" formatCode="&quot; $&quot;* #,##0.00\ ;&quot;-$&quot;* #,##0.00\ ;&quot; $&quot;* \-#\ ;@\ "/>
    <numFmt numFmtId="182" formatCode="&quot; $&quot;* #,##0\ ;&quot; $&quot;* \(#,##0\);&quot; $&quot;* &quot;- &quot;;@\ "/>
    <numFmt numFmtId="183" formatCode="* #,##0.00\ ;* \(#,##0.00\);* \-#\ ;@\ "/>
    <numFmt numFmtId="184" formatCode="&quot; $&quot;* #,##0.00\ ;&quot; $&quot;* \(#,##0.00\);&quot; $&quot;* \-#\ ;@\ "/>
    <numFmt numFmtId="185" formatCode="#,##0.00\ ;[Red]\(#,##0.00\);0.00\ ;@"/>
    <numFmt numFmtId="186" formatCode="#,##0.000,_);[Red]\(#,##0.000,\);0.000_);@"/>
    <numFmt numFmtId="187" formatCode="#,##0.000,,_);[Red]\(#,##0.000,,\);0.000_);@"/>
    <numFmt numFmtId="188" formatCode="&quot;$&quot;#,##0_);[Red]\(&quot;$&quot;#,##0\)"/>
    <numFmt numFmtId="189" formatCode="_(&quot;$&quot;* #,##0.00_);_(&quot;$&quot;* \(#,##0.00\);_(&quot;$&quot;* &quot;-&quot;??_);_(@_)"/>
    <numFmt numFmtId="190" formatCode="\$#,##0\ ;&quot;($&quot;#,##0\)"/>
    <numFmt numFmtId="191" formatCode="&quot;$&quot;#,##0\ ;\(&quot;$&quot;#,##0\)"/>
    <numFmt numFmtId="192" formatCode="#,##0.00_);[Red]\(#,##0.00\);0.00_);@"/>
    <numFmt numFmtId="193" formatCode="[$€]* #,##0.00\ ;[$€]* \(#,##0.00\);[$€]* \-#\ "/>
    <numFmt numFmtId="194" formatCode="_([$€-2]* #,##0.00_);_([$€-2]* \(#,##0.00\);_([$€-2]* &quot;-&quot;??_)"/>
    <numFmt numFmtId="195" formatCode="#,##0_._0_);[Red]\(#,##0\)_._0;0_._0_);@"/>
    <numFmt numFmtId="196" formatCode="##,##0_._0_0_);[Red]\(##,##0\)_._0_0;0_._0_0_);@"/>
    <numFmt numFmtId="197" formatCode="#,##0.000,,\ ;[Red]\(#,##0.000,,\);0.000\ ;@\ "/>
    <numFmt numFmtId="198" formatCode="#,##0,,\ ;[Red]\(#,##0,,\);0\ ;@\ "/>
    <numFmt numFmtId="199" formatCode="#,##0,,_);[Red]\(#,##0,,\);0_);@_)"/>
    <numFmt numFmtId="200" formatCode="#,##0.000,,_);[Red]\(#,##0.000,,\);0.000_);@_)"/>
    <numFmt numFmtId="201" formatCode="0.00_)"/>
    <numFmt numFmtId="202" formatCode="#,##0&quot;      &quot;;[Red]\(#,##0&quot;)     &quot;;0&quot;      &quot;"/>
    <numFmt numFmtId="203" formatCode="#,##0&quot;    &quot;;[Red]\(#,##0&quot;   )&quot;;0&quot;    &quot;;@\ "/>
    <numFmt numFmtId="204" formatCode="#,##0_._0_);[Red]\(#,##0_._0\);0_._0_);@_)"/>
    <numFmt numFmtId="205" formatCode="#,##0_._0_0_);[Red]\(#,##0\)_._0_0;0_._0_0_)"/>
    <numFmt numFmtId="206" formatCode="&quot;*&quot;#,##0.00_);[Red]&quot;Star Rate can't negative&quot;;&quot;Star Rate can't zero&quot;;@"/>
    <numFmt numFmtId="207" formatCode="\*#,##0.00\ ;[Red]&quot;in -ve?&quot;;[Red]&quot;in 0?&quot;"/>
    <numFmt numFmtId="208" formatCode="\*#,##0.00_);[Red]&quot;in -ve?&quot;;[Red]&quot;in 0?&quot;"/>
    <numFmt numFmtId="209" formatCode="#,##0.000,\ ;[Red]\(#,##0.000,\);0.000\ ;@\ "/>
    <numFmt numFmtId="210" formatCode="#,##0,\ ;[Red]\(#,##0,\);0\ ;@\ "/>
    <numFmt numFmtId="211" formatCode="#,##0,_);[Red]\(#,##0,\);0_);@_)"/>
    <numFmt numFmtId="212" formatCode="#,##0.000,_);[Red]\(#,##0.000,\);0.000_);@_)"/>
    <numFmt numFmtId="213" formatCode="&quot; ฿&quot;* #,##0\ ;&quot;-฿&quot;* #,##0\ ;&quot; ฿&quot;* &quot;- &quot;;@\ "/>
    <numFmt numFmtId="214" formatCode="&quot; ฿&quot;* #,##0.00\ ;&quot;-฿&quot;* #,##0.00\ ;&quot; ฿&quot;* \-#\ ;@\ "/>
    <numFmt numFmtId="215" formatCode="* #,##0.00\ ;\-* #,##0.00\ ;* \-#\ ;@\ "/>
    <numFmt numFmtId="216" formatCode="0.000%"/>
    <numFmt numFmtId="217" formatCode="* #,##0\ ;* \(#,##0\);* &quot;- &quot;;@\ "/>
    <numFmt numFmtId="218" formatCode="* #,##0\ ;\-* #,##0\ ;* &quot;- &quot;;@\ "/>
    <numFmt numFmtId="219" formatCode="* #,##0.00\ ;* \-#,##0.00\ ;* \-#\ ;@\ "/>
    <numFmt numFmtId="220" formatCode="d/m/yy"/>
    <numFmt numFmtId="221" formatCode="_(&quot;$&quot;* #,##0_);_(&quot;$&quot;* \(#,##0\);_(&quot;$&quot;* &quot;-&quot;_);_(@_)"/>
    <numFmt numFmtId="222" formatCode="&quot; HK$&quot;* #,##0.00\ ;&quot; HK$&quot;* \(#,##0.00\);&quot; HK$&quot;* \-#\ ;@\ "/>
    <numFmt numFmtId="223" formatCode="\$#,##0\ ;[Red]&quot;($&quot;#,##0\)"/>
  </numFmts>
  <fonts count="18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5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細明體"/>
      <family val="3"/>
      <charset val="136"/>
    </font>
    <font>
      <b/>
      <u/>
      <sz val="10"/>
      <color theme="1"/>
      <name val="Times New Roman"/>
      <family val="1"/>
    </font>
    <font>
      <sz val="10"/>
      <name val="細明體"/>
      <family val="3"/>
      <charset val="136"/>
    </font>
    <font>
      <sz val="10"/>
      <name val="Times New Roman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strike/>
      <sz val="10"/>
      <name val="Times New Roman"/>
      <family val="1"/>
    </font>
    <font>
      <strike/>
      <sz val="10"/>
      <color theme="1"/>
      <name val="Times New Roman"/>
      <family val="1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64"/>
      <name val="Times New Roman"/>
      <family val="1"/>
    </font>
    <font>
      <sz val="10"/>
      <name val="微軟正黑體"/>
      <family val="2"/>
      <charset val="136"/>
    </font>
    <font>
      <sz val="12"/>
      <name val="????"/>
      <family val="1"/>
      <charset val="136"/>
    </font>
    <font>
      <sz val="12"/>
      <name val="????"/>
      <family val="1"/>
    </font>
    <font>
      <u/>
      <sz val="10"/>
      <color indexed="20"/>
      <name val="Arial"/>
      <family val="2"/>
    </font>
    <font>
      <u/>
      <sz val="12"/>
      <color indexed="20"/>
      <name val="?2OcuAe"/>
      <family val="1"/>
      <charset val="136"/>
    </font>
    <font>
      <u/>
      <sz val="12"/>
      <color indexed="36"/>
      <name val="?2OcuAe"/>
      <family val="1"/>
      <charset val="136"/>
    </font>
    <font>
      <u/>
      <sz val="12"/>
      <color indexed="36"/>
      <name val="?2OcuAe"/>
      <family val="1"/>
    </font>
    <font>
      <u/>
      <sz val="10"/>
      <color indexed="36"/>
      <name val="Arial"/>
      <family val="2"/>
    </font>
    <font>
      <u/>
      <sz val="9.5"/>
      <color indexed="12"/>
      <name val="MS Serif"/>
      <family val="1"/>
    </font>
    <font>
      <u/>
      <sz val="12"/>
      <color indexed="12"/>
      <name val="?2OcuAe"/>
      <family val="1"/>
      <charset val="136"/>
    </font>
    <font>
      <u/>
      <sz val="12"/>
      <color indexed="12"/>
      <name val="?2OcuAe"/>
      <family val="1"/>
    </font>
    <font>
      <u/>
      <sz val="10"/>
      <color indexed="12"/>
      <name val="Arial"/>
      <family val="2"/>
    </font>
    <font>
      <sz val="12"/>
      <name val="·s²Ó©úÅé"/>
      <family val="1"/>
      <charset val="136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宋体"/>
      <family val="3"/>
      <charset val="136"/>
    </font>
    <font>
      <sz val="11"/>
      <color indexed="8"/>
      <name val="宋体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color indexed="42"/>
      <name val="宋体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Helv"/>
      <family val="2"/>
    </font>
    <font>
      <sz val="12"/>
      <color theme="1"/>
      <name val="Calibri"/>
      <family val="2"/>
    </font>
    <font>
      <sz val="12"/>
      <name val="細明體"/>
      <family val="3"/>
    </font>
    <font>
      <sz val="10"/>
      <name val="Arial"/>
      <family val="2"/>
    </font>
    <font>
      <sz val="10"/>
      <color indexed="8"/>
      <name val="Times New Roman"/>
      <family val="1"/>
    </font>
    <font>
      <sz val="12"/>
      <color indexed="24"/>
      <name val="Arial"/>
      <family val="2"/>
    </font>
    <font>
      <sz val="12"/>
      <name val="細明體"/>
      <family val="3"/>
      <charset val="136"/>
    </font>
    <font>
      <sz val="10"/>
      <name val="Tms Rmn"/>
      <family val="1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Calibri"/>
      <family val="2"/>
    </font>
    <font>
      <b/>
      <sz val="14"/>
      <name val="HP-TIMES"/>
      <family val="1"/>
      <charset val="136"/>
    </font>
    <font>
      <b/>
      <sz val="14"/>
      <name val="HP-TIMES"/>
      <family val="2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Arial"/>
      <family val="2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7"/>
      <name val="Small Fonts"/>
      <family val="2"/>
    </font>
    <font>
      <sz val="11"/>
      <name val="Helv"/>
      <family val="2"/>
    </font>
    <font>
      <sz val="12"/>
      <name val="Arial"/>
      <family val="2"/>
    </font>
    <font>
      <sz val="12"/>
      <name val="Helv"/>
      <family val="2"/>
    </font>
    <font>
      <sz val="10"/>
      <color rgb="FF000000"/>
      <name val="Times New Roman"/>
      <family val="1"/>
    </font>
    <font>
      <sz val="11"/>
      <color theme="1"/>
      <name val="新細明體"/>
      <family val="2"/>
      <scheme val="minor"/>
    </font>
    <font>
      <sz val="12"/>
      <color indexed="8"/>
      <name val="Arial"/>
      <family val="2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name val="Arial MT"/>
      <family val="2"/>
    </font>
    <font>
      <u/>
      <sz val="12"/>
      <color rgb="FF800080"/>
      <name val="新細"/>
      <family val="1"/>
      <charset val="136"/>
    </font>
    <font>
      <b/>
      <sz val="18"/>
      <color indexed="56"/>
      <name val="Cambria"/>
      <family val="1"/>
    </font>
    <font>
      <sz val="24"/>
      <color indexed="13"/>
      <name val="HP-TIMES"/>
      <family val="1"/>
      <charset val="136"/>
    </font>
    <font>
      <sz val="24"/>
      <color indexed="13"/>
      <name val="HP-TIMES"/>
      <family val="2"/>
    </font>
    <font>
      <b/>
      <sz val="18"/>
      <color indexed="56"/>
      <name val="新細明體"/>
      <family val="1"/>
      <charset val="136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4"/>
      <name val="Cordia New"/>
      <family val="2"/>
    </font>
    <font>
      <sz val="9"/>
      <name val="Arial"/>
      <family val="2"/>
    </font>
    <font>
      <sz val="12"/>
      <color indexed="8"/>
      <name val="黑體-繁"/>
      <family val="2"/>
    </font>
    <font>
      <sz val="12"/>
      <name val="DUTCH"/>
      <family val="1"/>
    </font>
    <font>
      <sz val="10"/>
      <color indexed="8"/>
      <name val="Arial"/>
      <family val="2"/>
    </font>
    <font>
      <sz val="12"/>
      <name val="宋体"/>
      <charset val="136"/>
    </font>
    <font>
      <sz val="11"/>
      <name val="¿¬Ìå"/>
      <family val="1"/>
    </font>
    <font>
      <sz val="11"/>
      <name val="Times New Roman"/>
      <family val="1"/>
    </font>
    <font>
      <sz val="11"/>
      <color indexed="17"/>
      <name val="宋体"/>
      <charset val="136"/>
    </font>
    <font>
      <sz val="12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新細明體"/>
      <family val="1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u/>
      <sz val="12"/>
      <color indexed="12"/>
      <name val="新細明體"/>
      <family val="1"/>
      <charset val="136"/>
    </font>
    <font>
      <u/>
      <sz val="9"/>
      <color indexed="12"/>
      <name val="Times New Roman"/>
      <family val="1"/>
    </font>
    <font>
      <u/>
      <sz val="12"/>
      <color indexed="12"/>
      <name val="新細"/>
      <family val="1"/>
      <charset val="136"/>
    </font>
    <font>
      <i/>
      <sz val="11"/>
      <color indexed="23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u/>
      <sz val="12"/>
      <color indexed="20"/>
      <name val="新細"/>
      <family val="1"/>
      <charset val="136"/>
    </font>
    <font>
      <u/>
      <sz val="12"/>
      <color indexed="36"/>
      <name val="新細"/>
      <family val="1"/>
      <charset val="136"/>
    </font>
    <font>
      <u/>
      <sz val="12"/>
      <color indexed="20"/>
      <name val="新細明體"/>
      <family val="1"/>
      <charset val="136"/>
    </font>
    <font>
      <u/>
      <sz val="12"/>
      <color indexed="36"/>
      <name val="新細明體"/>
      <family val="1"/>
      <charset val="136"/>
    </font>
    <font>
      <sz val="12"/>
      <color indexed="20"/>
      <name val="Calibri"/>
      <family val="2"/>
    </font>
    <font>
      <sz val="10"/>
      <color indexed="20"/>
      <name val="Arial"/>
      <family val="2"/>
    </font>
    <font>
      <sz val="12"/>
      <color indexed="20"/>
      <name val="新細明體"/>
      <family val="1"/>
    </font>
    <font>
      <sz val="11"/>
      <color indexed="10"/>
      <name val="宋体"/>
      <charset val="136"/>
    </font>
    <font>
      <b/>
      <sz val="18"/>
      <color indexed="62"/>
      <name val="宋体"/>
      <charset val="136"/>
    </font>
    <font>
      <b/>
      <sz val="15"/>
      <color indexed="62"/>
      <name val="宋体"/>
      <charset val="136"/>
    </font>
    <font>
      <b/>
      <sz val="13"/>
      <color indexed="62"/>
      <name val="宋体"/>
      <charset val="136"/>
    </font>
    <font>
      <b/>
      <sz val="11"/>
      <color indexed="62"/>
      <name val="宋体"/>
      <charset val="136"/>
    </font>
    <font>
      <b/>
      <sz val="11"/>
      <color indexed="42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52"/>
      <name val="宋体"/>
      <charset val="136"/>
    </font>
    <font>
      <sz val="10"/>
      <color rgb="FFFF0000"/>
      <name val="Times New Roman"/>
      <family val="1"/>
    </font>
    <font>
      <sz val="9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u/>
      <sz val="10"/>
      <color theme="1"/>
      <name val="細明體"/>
      <family val="3"/>
      <charset val="136"/>
    </font>
    <font>
      <sz val="12"/>
      <name val="ＭＳ Ｐゴシック"/>
      <family val="2"/>
    </font>
    <font>
      <sz val="10"/>
      <name val="新細明體"/>
      <family val="2"/>
      <scheme val="minor"/>
    </font>
    <font>
      <b/>
      <sz val="10"/>
      <name val="細明體"/>
      <family val="3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0"/>
      <name val="微軟正黑體"/>
      <family val="1"/>
      <charset val="136"/>
    </font>
    <font>
      <b/>
      <sz val="12"/>
      <color theme="1"/>
      <name val="MS PMincho"/>
      <family val="1"/>
      <charset val="128"/>
    </font>
    <font>
      <b/>
      <sz val="12"/>
      <name val="微軟正黑體"/>
      <family val="2"/>
      <charset val="136"/>
    </font>
    <font>
      <b/>
      <sz val="13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trike/>
      <u/>
      <sz val="12"/>
      <color theme="10"/>
      <name val="新細明體"/>
      <family val="2"/>
      <charset val="136"/>
      <scheme val="minor"/>
    </font>
    <font>
      <strike/>
      <sz val="10"/>
      <name val="細明體"/>
      <family val="3"/>
      <charset val="136"/>
    </font>
    <font>
      <strike/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2"/>
      <color theme="1"/>
      <name val="Times New Roman"/>
      <family val="2"/>
      <charset val="136"/>
    </font>
    <font>
      <sz val="12"/>
      <color theme="1"/>
      <name val="Times New Roman"/>
      <family val="2"/>
      <charset val="136"/>
    </font>
    <font>
      <b/>
      <sz val="12"/>
      <color theme="1"/>
      <name val="新細明體"/>
      <family val="2"/>
      <charset val="136"/>
    </font>
    <font>
      <sz val="10"/>
      <name val="Times New Roman"/>
      <family val="1"/>
      <charset val="136"/>
    </font>
    <font>
      <sz val="12"/>
      <color rgb="FFFF0000"/>
      <name val="Times New Roman"/>
      <family val="1"/>
    </font>
  </fonts>
  <fills count="6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3"/>
      </patternFill>
    </fill>
    <fill>
      <patternFill patternType="solid">
        <fgColor indexed="12"/>
        <bgColor indexed="39"/>
      </patternFill>
    </fill>
    <fill>
      <patternFill patternType="solid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6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9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7" fontId="26" fillId="0" borderId="0" applyFont="0" applyFill="0" applyBorder="0" applyAlignment="0" applyProtection="0"/>
    <xf numFmtId="0" fontId="9" fillId="0" borderId="0"/>
    <xf numFmtId="0" fontId="26" fillId="0" borderId="0">
      <alignment vertical="center"/>
    </xf>
    <xf numFmtId="0" fontId="26" fillId="0" borderId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1" fontId="29" fillId="0" borderId="0" applyFill="0" applyBorder="0" applyAlignment="0" applyProtection="0"/>
    <xf numFmtId="182" fontId="29" fillId="0" borderId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29" fillId="0" borderId="0" applyFill="0" applyBorder="0" applyAlignment="0" applyProtection="0"/>
    <xf numFmtId="183" fontId="29" fillId="0" borderId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41" fillId="0" borderId="0"/>
    <xf numFmtId="0" fontId="29" fillId="0" borderId="0" applyFill="0" applyBorder="0" applyAlignment="0" applyProtection="0"/>
    <xf numFmtId="183" fontId="29" fillId="0" borderId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/>
    <xf numFmtId="0" fontId="43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/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2" fillId="6" borderId="0" applyNumberFormat="0" applyBorder="0" applyAlignment="0" applyProtection="0"/>
    <xf numFmtId="0" fontId="43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/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/>
    <xf numFmtId="0" fontId="43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/>
    <xf numFmtId="0" fontId="43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/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/>
    <xf numFmtId="0" fontId="43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/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16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2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82" fontId="29" fillId="0" borderId="0" applyFill="0" applyBorder="0" applyAlignment="0" applyProtection="0"/>
    <xf numFmtId="184" fontId="29" fillId="0" borderId="0" applyFill="0" applyBorder="0" applyAlignment="0" applyProtection="0"/>
    <xf numFmtId="0" fontId="42" fillId="20" borderId="0" applyNumberFormat="0" applyBorder="0" applyAlignment="0" applyProtection="0"/>
    <xf numFmtId="0" fontId="43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/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/>
    <xf numFmtId="0" fontId="43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/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/>
    <xf numFmtId="0" fontId="43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/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2" fillId="10" borderId="0" applyNumberFormat="0" applyBorder="0" applyAlignment="0" applyProtection="0"/>
    <xf numFmtId="0" fontId="43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/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2" fillId="20" borderId="0" applyNumberFormat="0" applyBorder="0" applyAlignment="0" applyProtection="0"/>
    <xf numFmtId="0" fontId="43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/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2" fillId="26" borderId="0" applyNumberFormat="0" applyBorder="0" applyAlignment="0" applyProtection="0"/>
    <xf numFmtId="0" fontId="43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/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/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22" borderId="0" applyNumberFormat="0" applyBorder="0" applyAlignment="0" applyProtection="0"/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30" borderId="0" applyNumberFormat="0" applyBorder="0" applyAlignment="0" applyProtection="0"/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28" borderId="0" applyNumberFormat="0" applyBorder="0" applyAlignment="0" applyProtection="0"/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20" borderId="0" applyNumberFormat="0" applyBorder="0" applyAlignment="0" applyProtection="0"/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6" fillId="32" borderId="0" applyNumberFormat="0" applyBorder="0" applyAlignment="0" applyProtection="0"/>
    <xf numFmtId="0" fontId="47" fillId="33" borderId="0" applyNumberFormat="0" applyBorder="0" applyAlignment="0" applyProtection="0">
      <alignment vertical="center"/>
    </xf>
    <xf numFmtId="0" fontId="46" fillId="33" borderId="0" applyNumberFormat="0" applyBorder="0" applyAlignment="0" applyProtection="0"/>
    <xf numFmtId="0" fontId="48" fillId="33" borderId="0" applyNumberFormat="0" applyBorder="0" applyAlignment="0" applyProtection="0">
      <alignment vertical="center"/>
    </xf>
    <xf numFmtId="0" fontId="46" fillId="22" borderId="0" applyNumberFormat="0" applyBorder="0" applyAlignment="0" applyProtection="0"/>
    <xf numFmtId="0" fontId="47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/>
    <xf numFmtId="0" fontId="48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/>
    <xf numFmtId="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/>
    <xf numFmtId="0" fontId="48" fillId="25" borderId="0" applyNumberFormat="0" applyBorder="0" applyAlignment="0" applyProtection="0">
      <alignment vertical="center"/>
    </xf>
    <xf numFmtId="0" fontId="46" fillId="34" borderId="0" applyNumberFormat="0" applyBorder="0" applyAlignment="0" applyProtection="0"/>
    <xf numFmtId="0" fontId="47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/>
    <xf numFmtId="0" fontId="48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/>
    <xf numFmtId="0" fontId="47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/>
    <xf numFmtId="0" fontId="48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/>
    <xf numFmtId="0" fontId="47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/>
    <xf numFmtId="0" fontId="48" fillId="39" borderId="0" applyNumberFormat="0" applyBorder="0" applyAlignment="0" applyProtection="0">
      <alignment vertical="center"/>
    </xf>
    <xf numFmtId="0" fontId="49" fillId="36" borderId="0" applyNumberFormat="0" applyBorder="0" applyAlignment="0" applyProtection="0"/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22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30" borderId="0" applyNumberFormat="0" applyBorder="0" applyAlignment="0" applyProtection="0"/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28" borderId="0" applyNumberFormat="0" applyBorder="0" applyAlignment="0" applyProtection="0"/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6" borderId="0" applyNumberFormat="0" applyBorder="0" applyAlignment="0" applyProtection="0"/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14" borderId="0" applyNumberFormat="0" applyBorder="0" applyAlignment="0" applyProtection="0"/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/>
    <xf numFmtId="0" fontId="47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/>
    <xf numFmtId="0" fontId="48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/>
    <xf numFmtId="0" fontId="47" fillId="43" borderId="0" applyNumberFormat="0" applyBorder="0" applyAlignment="0" applyProtection="0">
      <alignment vertical="center"/>
    </xf>
    <xf numFmtId="0" fontId="46" fillId="43" borderId="0" applyNumberFormat="0" applyBorder="0" applyAlignment="0" applyProtection="0"/>
    <xf numFmtId="0" fontId="48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/>
    <xf numFmtId="0" fontId="47" fillId="45" borderId="0" applyNumberFormat="0" applyBorder="0" applyAlignment="0" applyProtection="0">
      <alignment vertical="center"/>
    </xf>
    <xf numFmtId="0" fontId="46" fillId="45" borderId="0" applyNumberFormat="0" applyBorder="0" applyAlignment="0" applyProtection="0"/>
    <xf numFmtId="0" fontId="48" fillId="45" borderId="0" applyNumberFormat="0" applyBorder="0" applyAlignment="0" applyProtection="0">
      <alignment vertical="center"/>
    </xf>
    <xf numFmtId="0" fontId="46" fillId="34" borderId="0" applyNumberFormat="0" applyBorder="0" applyAlignment="0" applyProtection="0"/>
    <xf numFmtId="0" fontId="47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/>
    <xf numFmtId="0" fontId="48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/>
    <xf numFmtId="0" fontId="47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/>
    <xf numFmtId="0" fontId="48" fillId="37" borderId="0" applyNumberFormat="0" applyBorder="0" applyAlignment="0" applyProtection="0">
      <alignment vertical="center"/>
    </xf>
    <xf numFmtId="0" fontId="46" fillId="46" borderId="0" applyNumberFormat="0" applyBorder="0" applyAlignment="0" applyProtection="0"/>
    <xf numFmtId="0" fontId="47" fillId="47" borderId="0" applyNumberFormat="0" applyBorder="0" applyAlignment="0" applyProtection="0">
      <alignment vertical="center"/>
    </xf>
    <xf numFmtId="0" fontId="46" fillId="47" borderId="0" applyNumberFormat="0" applyBorder="0" applyAlignment="0" applyProtection="0"/>
    <xf numFmtId="0" fontId="48" fillId="4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50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3" fillId="28" borderId="10" applyNumberFormat="0" applyAlignment="0" applyProtection="0"/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4" fillId="29" borderId="10" applyNumberFormat="0" applyAlignment="0" applyProtection="0">
      <alignment vertical="center"/>
    </xf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3" fillId="29" borderId="10" applyNumberFormat="0" applyAlignment="0" applyProtection="0"/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3" fillId="28" borderId="10" applyNumberFormat="0" applyAlignment="0" applyProtection="0"/>
    <xf numFmtId="0" fontId="56" fillId="48" borderId="11" applyNumberFormat="0" applyAlignment="0" applyProtection="0"/>
    <xf numFmtId="0" fontId="57" fillId="49" borderId="11" applyNumberFormat="0" applyAlignment="0" applyProtection="0">
      <alignment vertical="center"/>
    </xf>
    <xf numFmtId="0" fontId="56" fillId="49" borderId="11" applyNumberFormat="0" applyAlignment="0" applyProtection="0"/>
    <xf numFmtId="0" fontId="58" fillId="49" borderId="11" applyNumberFormat="0" applyAlignment="0" applyProtection="0">
      <alignment vertical="center"/>
    </xf>
    <xf numFmtId="38" fontId="59" fillId="0" borderId="0" applyFont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177" fontId="61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77" fontId="10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3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185" fontId="62" fillId="0" borderId="0" applyFill="0" applyBorder="0" applyAlignment="0" applyProtection="0"/>
    <xf numFmtId="3" fontId="29" fillId="0" borderId="0" applyFill="0" applyBorder="0" applyAlignment="0" applyProtection="0"/>
    <xf numFmtId="3" fontId="64" fillId="0" borderId="0" applyFont="0" applyFill="0" applyBorder="0" applyAlignment="0" applyProtection="0"/>
    <xf numFmtId="186" fontId="62" fillId="0" borderId="0" applyFont="0" applyFill="0" applyBorder="0" applyAlignment="0" applyProtection="0"/>
    <xf numFmtId="186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188" fontId="59" fillId="0" borderId="0" applyFont="0" applyFill="0" applyBorder="0" applyAlignment="0" applyProtection="0"/>
    <xf numFmtId="189" fontId="65" fillId="0" borderId="0" applyFont="0" applyFill="0" applyBorder="0" applyAlignment="0" applyProtection="0"/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190" fontId="29" fillId="0" borderId="0" applyFill="0" applyBorder="0" applyAlignment="0" applyProtection="0"/>
    <xf numFmtId="191" fontId="64" fillId="0" borderId="0" applyFont="0" applyFill="0" applyBorder="0" applyAlignment="0" applyProtection="0"/>
    <xf numFmtId="0" fontId="9" fillId="0" borderId="0"/>
    <xf numFmtId="0" fontId="66" fillId="0" borderId="0"/>
    <xf numFmtId="0" fontId="9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0" fontId="29" fillId="0" borderId="0" applyFill="0" applyBorder="0" applyAlignment="0" applyProtection="0"/>
    <xf numFmtId="0" fontId="64" fillId="0" borderId="0" applyFont="0" applyFill="0" applyBorder="0" applyAlignment="0" applyProtection="0"/>
    <xf numFmtId="40" fontId="10" fillId="0" borderId="0"/>
    <xf numFmtId="40" fontId="10" fillId="0" borderId="0"/>
    <xf numFmtId="193" fontId="29" fillId="0" borderId="0" applyFill="0" applyBorder="0" applyAlignment="0" applyProtection="0"/>
    <xf numFmtId="194" fontId="26" fillId="0" borderId="0" applyFont="0" applyFill="0" applyBorder="0" applyAlignment="0" applyProtection="0">
      <alignment vertical="center"/>
    </xf>
    <xf numFmtId="194" fontId="26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2" fontId="29" fillId="0" borderId="0" applyFill="0" applyBorder="0" applyAlignment="0" applyProtection="0"/>
    <xf numFmtId="2" fontId="64" fillId="0" borderId="0" applyFont="0" applyFill="0" applyBorder="0" applyAlignment="0" applyProtection="0"/>
    <xf numFmtId="0" fontId="70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0" fillId="9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38" fontId="73" fillId="50" borderId="0" applyNumberFormat="0" applyBorder="0" applyAlignment="0" applyProtection="0"/>
    <xf numFmtId="0" fontId="29" fillId="28" borderId="0" applyNumberFormat="0" applyBorder="0" applyAlignment="0" applyProtection="0"/>
    <xf numFmtId="0" fontId="62" fillId="29" borderId="0" applyNumberFormat="0" applyFont="0" applyBorder="0" applyAlignment="0" applyProtection="0"/>
    <xf numFmtId="0" fontId="74" fillId="0" borderId="13" applyNumberFormat="0" applyFill="0" applyAlignment="0" applyProtection="0"/>
    <xf numFmtId="0" fontId="74" fillId="0" borderId="13" applyNumberFormat="0" applyFill="0" applyAlignment="0" applyProtection="0"/>
    <xf numFmtId="0" fontId="75" fillId="0" borderId="13" applyNumberFormat="0" applyFill="0" applyAlignment="0" applyProtection="0">
      <alignment vertical="center"/>
    </xf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7" fillId="0" borderId="14" applyNumberFormat="0" applyFill="0" applyAlignment="0" applyProtection="0">
      <alignment vertical="center"/>
    </xf>
    <xf numFmtId="0" fontId="78" fillId="0" borderId="15" applyNumberFormat="0" applyFill="0" applyAlignment="0" applyProtection="0"/>
    <xf numFmtId="0" fontId="78" fillId="0" borderId="15" applyNumberFormat="0" applyFill="0" applyAlignment="0" applyProtection="0"/>
    <xf numFmtId="0" fontId="79" fillId="0" borderId="15" applyNumberFormat="0" applyFill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14" borderId="10" applyNumberFormat="0" applyAlignment="0" applyProtection="0"/>
    <xf numFmtId="0" fontId="73" fillId="18" borderId="0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10" fontId="73" fillId="51" borderId="1" applyNumberFormat="0" applyBorder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1" fillId="15" borderId="10" applyNumberFormat="0" applyAlignment="0" applyProtection="0">
      <alignment vertical="center"/>
    </xf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0" fillId="15" borderId="10" applyNumberFormat="0" applyAlignment="0" applyProtection="0"/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0" fillId="14" borderId="10" applyNumberFormat="0" applyAlignment="0" applyProtection="0"/>
    <xf numFmtId="0" fontId="83" fillId="30" borderId="10" applyNumberFormat="0" applyAlignment="0" applyProtection="0"/>
    <xf numFmtId="195" fontId="8" fillId="0" borderId="0" applyFont="0" applyFill="0" applyBorder="0" applyAlignment="0" applyProtection="0">
      <alignment horizontal="left"/>
    </xf>
    <xf numFmtId="196" fontId="8" fillId="0" borderId="0" applyFont="0" applyFill="0" applyBorder="0" applyAlignment="0" applyProtection="0">
      <alignment horizontal="left"/>
    </xf>
    <xf numFmtId="0" fontId="84" fillId="52" borderId="12"/>
    <xf numFmtId="0" fontId="84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4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5" fillId="53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4" fillId="52" borderId="12"/>
    <xf numFmtId="0" fontId="86" fillId="0" borderId="16" applyNumberFormat="0" applyFill="0" applyAlignment="0" applyProtection="0"/>
    <xf numFmtId="0" fontId="87" fillId="0" borderId="16" applyNumberFormat="0" applyFill="0" applyAlignment="0" applyProtection="0">
      <alignment vertical="center"/>
    </xf>
    <xf numFmtId="0" fontId="86" fillId="0" borderId="16" applyNumberFormat="0" applyFill="0" applyAlignment="0" applyProtection="0"/>
    <xf numFmtId="0" fontId="88" fillId="0" borderId="16" applyNumberFormat="0" applyFill="0" applyAlignment="0" applyProtection="0">
      <alignment vertical="center"/>
    </xf>
    <xf numFmtId="0" fontId="29" fillId="0" borderId="0" applyFill="0" applyBorder="0" applyProtection="0">
      <alignment horizontal="left" vertical="top" wrapText="1"/>
    </xf>
    <xf numFmtId="0" fontId="89" fillId="0" borderId="0" applyFont="0" applyFill="0" applyBorder="0" applyProtection="0">
      <alignment horizontal="left" vertical="top" wrapText="1"/>
    </xf>
    <xf numFmtId="197" fontId="29" fillId="0" borderId="0" applyFill="0" applyBorder="0" applyAlignment="0" applyProtection="0"/>
    <xf numFmtId="198" fontId="29" fillId="0" borderId="0" applyFill="0" applyBorder="0" applyAlignment="0" applyProtection="0"/>
    <xf numFmtId="199" fontId="89" fillId="0" borderId="0" applyFont="0" applyFill="0" applyBorder="0" applyAlignment="0" applyProtection="0">
      <alignment vertical="center"/>
    </xf>
    <xf numFmtId="200" fontId="89" fillId="0" borderId="0" applyFont="0" applyFill="0" applyBorder="0" applyAlignment="0" applyProtection="0">
      <alignment vertical="center"/>
    </xf>
    <xf numFmtId="0" fontId="90" fillId="30" borderId="0" applyNumberFormat="0" applyBorder="0" applyAlignment="0" applyProtection="0"/>
    <xf numFmtId="0" fontId="91" fillId="31" borderId="0" applyNumberFormat="0" applyBorder="0" applyAlignment="0" applyProtection="0">
      <alignment vertical="center"/>
    </xf>
    <xf numFmtId="0" fontId="90" fillId="31" borderId="0" applyNumberFormat="0" applyBorder="0" applyAlignment="0" applyProtection="0"/>
    <xf numFmtId="0" fontId="92" fillId="31" borderId="0" applyNumberFormat="0" applyBorder="0" applyAlignment="0" applyProtection="0">
      <alignment vertical="center"/>
    </xf>
    <xf numFmtId="37" fontId="93" fillId="0" borderId="0"/>
    <xf numFmtId="37" fontId="93" fillId="0" borderId="0"/>
    <xf numFmtId="0" fontId="89" fillId="0" borderId="0"/>
    <xf numFmtId="0" fontId="94" fillId="0" borderId="0"/>
    <xf numFmtId="201" fontId="73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5" fillId="0" borderId="0"/>
    <xf numFmtId="0" fontId="96" fillId="0" borderId="0"/>
    <xf numFmtId="0" fontId="9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0" fillId="0" borderId="0"/>
    <xf numFmtId="0" fontId="98" fillId="0" borderId="0"/>
    <xf numFmtId="0" fontId="62" fillId="0" borderId="0"/>
    <xf numFmtId="0" fontId="42" fillId="0" borderId="0"/>
    <xf numFmtId="0" fontId="62" fillId="0" borderId="0"/>
    <xf numFmtId="0" fontId="62" fillId="0" borderId="0"/>
    <xf numFmtId="40" fontId="62" fillId="0" borderId="0"/>
    <xf numFmtId="0" fontId="26" fillId="0" borderId="0">
      <alignment vertical="center"/>
    </xf>
    <xf numFmtId="0" fontId="26" fillId="0" borderId="0">
      <alignment vertical="center"/>
    </xf>
    <xf numFmtId="0" fontId="42" fillId="0" borderId="0"/>
    <xf numFmtId="0" fontId="61" fillId="0" borderId="0"/>
    <xf numFmtId="0" fontId="42" fillId="0" borderId="0"/>
    <xf numFmtId="0" fontId="9" fillId="0" borderId="0"/>
    <xf numFmtId="0" fontId="42" fillId="0" borderId="0"/>
    <xf numFmtId="0" fontId="62" fillId="0" borderId="0"/>
    <xf numFmtId="0" fontId="65" fillId="17" borderId="0"/>
    <xf numFmtId="202" fontId="62" fillId="0" borderId="0" applyFill="0" applyBorder="0" applyAlignment="0" applyProtection="0"/>
    <xf numFmtId="203" fontId="29" fillId="0" borderId="0" applyFill="0" applyBorder="0" applyAlignment="0" applyProtection="0"/>
    <xf numFmtId="204" fontId="89" fillId="0" borderId="0" applyFont="0" applyFill="0" applyBorder="0" applyAlignment="0" applyProtection="0">
      <alignment vertical="center"/>
    </xf>
    <xf numFmtId="202" fontId="62" fillId="0" borderId="0" applyFill="0" applyBorder="0" applyAlignment="0" applyProtection="0"/>
    <xf numFmtId="205" fontId="62" fillId="0" borderId="0" applyFill="0" applyBorder="0" applyAlignment="0" applyProtection="0"/>
    <xf numFmtId="202" fontId="62" fillId="0" borderId="0" applyFill="0" applyBorder="0" applyAlignment="0" applyProtection="0"/>
    <xf numFmtId="0" fontId="29" fillId="18" borderId="17" applyNumberFormat="0" applyAlignment="0" applyProtection="0"/>
    <xf numFmtId="0" fontId="62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99" fillId="19" borderId="17" applyNumberFormat="0" applyFont="0" applyAlignment="0" applyProtection="0"/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32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100" fillId="28" borderId="18" applyNumberFormat="0" applyAlignment="0" applyProtection="0"/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1" fillId="29" borderId="18" applyNumberFormat="0" applyAlignment="0" applyProtection="0">
      <alignment vertical="center"/>
    </xf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0" fillId="29" borderId="18" applyNumberFormat="0" applyAlignment="0" applyProtection="0"/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0" fontId="100" fillId="28" borderId="18" applyNumberFormat="0" applyAlignment="0" applyProtection="0"/>
    <xf numFmtId="10" fontId="29" fillId="0" borderId="0" applyFill="0" applyBorder="0" applyAlignment="0" applyProtection="0"/>
    <xf numFmtId="10" fontId="73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2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62" fillId="0" borderId="0" applyFill="0" applyBorder="0" applyAlignment="0" applyProtection="0"/>
    <xf numFmtId="0" fontId="9" fillId="0" borderId="0"/>
    <xf numFmtId="0" fontId="66" fillId="0" borderId="0"/>
    <xf numFmtId="206" fontId="8" fillId="0" borderId="0" applyFont="0" applyFill="0" applyBorder="0" applyAlignment="0" applyProtection="0">
      <alignment horizontal="left"/>
    </xf>
    <xf numFmtId="207" fontId="62" fillId="0" borderId="0" applyFill="0" applyBorder="0" applyAlignment="0" applyProtection="0"/>
    <xf numFmtId="207" fontId="62" fillId="0" borderId="0" applyFill="0" applyBorder="0" applyAlignment="0" applyProtection="0"/>
    <xf numFmtId="208" fontId="62" fillId="0" borderId="0" applyFill="0" applyBorder="0" applyAlignment="0" applyProtection="0"/>
    <xf numFmtId="0" fontId="103" fillId="0" borderId="0"/>
    <xf numFmtId="0" fontId="9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66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9" fillId="0" borderId="12"/>
    <xf numFmtId="0" fontId="104" fillId="0" borderId="0"/>
    <xf numFmtId="209" fontId="29" fillId="0" borderId="0" applyFill="0" applyBorder="0" applyAlignment="0" applyProtection="0"/>
    <xf numFmtId="210" fontId="29" fillId="0" borderId="0" applyFill="0" applyBorder="0" applyAlignment="0" applyProtection="0"/>
    <xf numFmtId="211" fontId="89" fillId="0" borderId="0" applyFont="0" applyFill="0" applyBorder="0" applyAlignment="0" applyProtection="0">
      <alignment vertical="center"/>
    </xf>
    <xf numFmtId="212" fontId="89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54" borderId="0"/>
    <xf numFmtId="0" fontId="106" fillId="55" borderId="0"/>
    <xf numFmtId="0" fontId="106" fillId="55" borderId="0"/>
    <xf numFmtId="0" fontId="107" fillId="55" borderId="0"/>
    <xf numFmtId="0" fontId="105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/>
    <xf numFmtId="0" fontId="110" fillId="0" borderId="19" applyNumberFormat="0" applyFill="0" applyAlignment="0" applyProtection="0"/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110" fillId="0" borderId="19" applyNumberFormat="0" applyFill="0" applyAlignment="0" applyProtection="0"/>
    <xf numFmtId="0" fontId="84" fillId="0" borderId="20"/>
    <xf numFmtId="0" fontId="84" fillId="0" borderId="20"/>
    <xf numFmtId="0" fontId="84" fillId="0" borderId="20"/>
    <xf numFmtId="0" fontId="85" fillId="0" borderId="20"/>
    <xf numFmtId="0" fontId="84" fillId="0" borderId="12"/>
    <xf numFmtId="0" fontId="84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5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84" fillId="0" borderId="12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/>
    <xf numFmtId="0" fontId="115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/>
    <xf numFmtId="0" fontId="62" fillId="19" borderId="0" applyNumberFormat="0" applyFont="0" applyBorder="0" applyAlignment="0" applyProtection="0"/>
    <xf numFmtId="213" fontId="29" fillId="0" borderId="0" applyFill="0" applyBorder="0" applyAlignment="0" applyProtection="0"/>
    <xf numFmtId="214" fontId="29" fillId="0" borderId="0" applyFill="0" applyBorder="0" applyAlignment="0" applyProtection="0"/>
    <xf numFmtId="0" fontId="116" fillId="0" borderId="0"/>
    <xf numFmtId="0" fontId="1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5" fillId="0" borderId="0">
      <alignment vertical="center"/>
    </xf>
    <xf numFmtId="0" fontId="29" fillId="0" borderId="0"/>
    <xf numFmtId="0" fontId="3" fillId="0" borderId="0"/>
    <xf numFmtId="0" fontId="97" fillId="0" borderId="0"/>
    <xf numFmtId="0" fontId="10" fillId="0" borderId="0"/>
    <xf numFmtId="0" fontId="118" fillId="0" borderId="0">
      <alignment vertical="center"/>
    </xf>
    <xf numFmtId="0" fontId="25" fillId="0" borderId="0">
      <alignment vertical="center"/>
    </xf>
    <xf numFmtId="40" fontId="62" fillId="0" borderId="0"/>
    <xf numFmtId="0" fontId="62" fillId="0" borderId="0"/>
    <xf numFmtId="0" fontId="62" fillId="0" borderId="0"/>
    <xf numFmtId="40" fontId="62" fillId="0" borderId="0"/>
    <xf numFmtId="40" fontId="62" fillId="0" borderId="0"/>
    <xf numFmtId="40" fontId="62" fillId="0" borderId="0"/>
    <xf numFmtId="0" fontId="26" fillId="0" borderId="0"/>
    <xf numFmtId="0" fontId="26" fillId="0" borderId="0">
      <alignment vertical="center"/>
    </xf>
    <xf numFmtId="0" fontId="62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119" fillId="0" borderId="0"/>
    <xf numFmtId="0" fontId="27" fillId="0" borderId="0"/>
    <xf numFmtId="0" fontId="27" fillId="0" borderId="0"/>
    <xf numFmtId="40" fontId="62" fillId="0" borderId="0"/>
    <xf numFmtId="40" fontId="62" fillId="0" borderId="0"/>
    <xf numFmtId="0" fontId="117" fillId="0" borderId="0"/>
    <xf numFmtId="40" fontId="62" fillId="0" borderId="0"/>
    <xf numFmtId="0" fontId="62" fillId="0" borderId="0"/>
    <xf numFmtId="0" fontId="62" fillId="0" borderId="0"/>
    <xf numFmtId="43" fontId="3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183" fontId="29" fillId="0" borderId="0" applyFill="0" applyBorder="0" applyAlignment="0" applyProtection="0"/>
    <xf numFmtId="177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43" fontId="62" fillId="0" borderId="0" applyFont="0" applyFill="0" applyBorder="0" applyAlignment="0" applyProtection="0"/>
    <xf numFmtId="183" fontId="29" fillId="0" borderId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215" fontId="29" fillId="0" borderId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16" fontId="26" fillId="0" borderId="0" applyFont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77" fontId="26" fillId="0" borderId="0" applyFont="0" applyFill="0" applyBorder="0" applyAlignment="0" applyProtection="0">
      <alignment vertical="center"/>
    </xf>
    <xf numFmtId="215" fontId="29" fillId="0" borderId="0" applyFill="0" applyBorder="0" applyAlignment="0" applyProtection="0"/>
    <xf numFmtId="43" fontId="10" fillId="0" borderId="0" applyFont="0" applyFill="0" applyBorder="0" applyAlignment="0" applyProtection="0"/>
    <xf numFmtId="177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77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183" fontId="29" fillId="0" borderId="0" applyFill="0" applyBorder="0" applyAlignment="0" applyProtection="0"/>
    <xf numFmtId="43" fontId="62" fillId="0" borderId="0" applyFont="0" applyFill="0" applyBorder="0" applyAlignment="0" applyProtection="0"/>
    <xf numFmtId="43" fontId="120" fillId="0" borderId="0" applyFont="0" applyFill="0" applyBorder="0" applyAlignment="0" applyProtection="0"/>
    <xf numFmtId="177" fontId="62" fillId="0" borderId="0" applyFont="0" applyFill="0" applyBorder="0" applyAlignment="0" applyProtection="0"/>
    <xf numFmtId="183" fontId="29" fillId="0" borderId="0" applyFill="0" applyBorder="0" applyAlignment="0" applyProtection="0"/>
    <xf numFmtId="217" fontId="29" fillId="0" borderId="0" applyFill="0" applyBorder="0" applyAlignment="0" applyProtection="0"/>
    <xf numFmtId="218" fontId="29" fillId="0" borderId="0" applyFill="0" applyBorder="0" applyAlignment="0" applyProtection="0"/>
    <xf numFmtId="217" fontId="29" fillId="0" borderId="0" applyFill="0" applyBorder="0" applyAlignment="0" applyProtection="0"/>
    <xf numFmtId="217" fontId="29" fillId="0" borderId="0" applyFill="0" applyBorder="0" applyAlignment="0" applyProtection="0"/>
    <xf numFmtId="217" fontId="29" fillId="0" borderId="0" applyFill="0" applyBorder="0" applyAlignment="0" applyProtection="0"/>
    <xf numFmtId="41" fontId="62" fillId="0" borderId="0" applyFont="0" applyFill="0" applyBorder="0" applyAlignment="0" applyProtection="0"/>
    <xf numFmtId="217" fontId="29" fillId="0" borderId="0" applyFill="0" applyBorder="0" applyAlignment="0" applyProtection="0"/>
    <xf numFmtId="41" fontId="62" fillId="0" borderId="0" applyFont="0" applyFill="0" applyBorder="0" applyAlignment="0" applyProtection="0"/>
    <xf numFmtId="219" fontId="29" fillId="0" borderId="0" applyFill="0" applyBorder="0" applyAlignment="0" applyProtection="0"/>
    <xf numFmtId="178" fontId="121" fillId="0" borderId="0" applyFont="0" applyFill="0" applyBorder="0" applyAlignment="0" applyProtection="0"/>
    <xf numFmtId="178" fontId="121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92" fillId="31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49" fontId="123" fillId="0" borderId="0">
      <alignment horizontal="left"/>
      <protection hidden="1"/>
    </xf>
    <xf numFmtId="220" fontId="29" fillId="0" borderId="0" applyFill="0" applyBorder="0" applyAlignment="0"/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124" fillId="8" borderId="0" applyNumberFormat="0" applyBorder="0" applyAlignment="0" applyProtection="0"/>
    <xf numFmtId="0" fontId="124" fillId="9" borderId="0" applyNumberFormat="0" applyBorder="0" applyAlignment="0" applyProtection="0">
      <alignment vertical="center"/>
    </xf>
    <xf numFmtId="0" fontId="124" fillId="9" borderId="0" applyNumberFormat="0" applyBorder="0" applyAlignment="0" applyProtection="0">
      <alignment vertical="center"/>
    </xf>
    <xf numFmtId="0" fontId="124" fillId="8" borderId="0" applyNumberFormat="0" applyBorder="0" applyAlignment="0" applyProtection="0"/>
    <xf numFmtId="0" fontId="124" fillId="8" borderId="0" applyNumberFormat="0" applyBorder="0" applyAlignment="0" applyProtection="0"/>
    <xf numFmtId="0" fontId="124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2" fillId="12" borderId="0" applyNumberFormat="0" applyBorder="0" applyAlignment="0" applyProtection="0"/>
    <xf numFmtId="0" fontId="126" fillId="8" borderId="0" applyNumberFormat="0" applyBorder="0" applyAlignment="0" applyProtection="0"/>
    <xf numFmtId="0" fontId="126" fillId="9" borderId="0" applyNumberFormat="0" applyBorder="0" applyAlignment="0" applyProtection="0"/>
    <xf numFmtId="0" fontId="126" fillId="8" borderId="0" applyNumberFormat="0" applyBorder="0" applyAlignment="0" applyProtection="0"/>
    <xf numFmtId="0" fontId="126" fillId="9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56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1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126" fillId="8" borderId="0" applyNumberFormat="0" applyBorder="0" applyAlignment="0" applyProtection="0"/>
    <xf numFmtId="0" fontId="126" fillId="9" borderId="0" applyNumberFormat="0" applyBorder="0" applyAlignment="0" applyProtection="0">
      <alignment vertical="center"/>
    </xf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70" fillId="9" borderId="0" applyNumberFormat="0" applyBorder="0" applyAlignment="0" applyProtection="0"/>
    <xf numFmtId="0" fontId="125" fillId="8" borderId="0" applyNumberFormat="0" applyBorder="0" applyAlignment="0" applyProtection="0"/>
    <xf numFmtId="0" fontId="125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9" borderId="0" applyNumberFormat="0" applyBorder="0" applyAlignment="0" applyProtection="0">
      <alignment vertical="center"/>
    </xf>
    <xf numFmtId="0" fontId="72" fillId="8" borderId="0" applyNumberFormat="0" applyBorder="0" applyAlignment="0" applyProtection="0"/>
    <xf numFmtId="0" fontId="72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29" fillId="0" borderId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9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9" fillId="0" borderId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2" fillId="0" borderId="0" applyFill="0" applyBorder="0" applyAlignment="0" applyProtection="0"/>
    <xf numFmtId="9" fontId="26" fillId="0" borderId="0" applyFont="0" applyFill="0" applyBorder="0" applyAlignment="0" applyProtection="0"/>
    <xf numFmtId="9" fontId="62" fillId="0" borderId="0" applyFill="0" applyBorder="0" applyAlignment="0" applyProtection="0"/>
    <xf numFmtId="9" fontId="62" fillId="0" borderId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9" fillId="18" borderId="17" applyNumberFormat="0" applyAlignment="0" applyProtection="0"/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121" fillId="19" borderId="17" applyNumberFormat="0" applyFont="0" applyAlignment="0" applyProtection="0">
      <alignment vertical="center"/>
    </xf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29" fillId="18" borderId="17" applyNumberFormat="0" applyAlignment="0" applyProtection="0"/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55" fillId="29" borderId="10" applyNumberFormat="0" applyAlignment="0" applyProtection="0">
      <alignment vertical="center"/>
    </xf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128" fillId="7" borderId="0" applyNumberFormat="0" applyBorder="0" applyAlignment="0" applyProtection="0">
      <alignment vertical="center"/>
    </xf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7" borderId="0" applyNumberFormat="0" applyBorder="0" applyAlignment="0" applyProtection="0">
      <alignment vertical="center"/>
    </xf>
    <xf numFmtId="0" fontId="129" fillId="30" borderId="0" applyNumberFormat="0" applyBorder="0" applyAlignment="0" applyProtection="0"/>
    <xf numFmtId="0" fontId="129" fillId="31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1" fillId="0" borderId="0"/>
    <xf numFmtId="0" fontId="121" fillId="0" borderId="0"/>
    <xf numFmtId="0" fontId="89" fillId="0" borderId="0"/>
    <xf numFmtId="182" fontId="29" fillId="0" borderId="0" applyFill="0" applyBorder="0" applyAlignment="0" applyProtection="0"/>
    <xf numFmtId="182" fontId="29" fillId="0" borderId="0" applyFill="0" applyBorder="0" applyAlignment="0" applyProtection="0"/>
    <xf numFmtId="182" fontId="29" fillId="0" borderId="0" applyFill="0" applyBorder="0" applyAlignment="0" applyProtection="0"/>
    <xf numFmtId="221" fontId="62" fillId="0" borderId="0" applyFont="0" applyFill="0" applyBorder="0" applyAlignment="0" applyProtection="0"/>
    <xf numFmtId="182" fontId="29" fillId="0" borderId="0" applyFill="0" applyBorder="0" applyAlignment="0" applyProtection="0"/>
    <xf numFmtId="221" fontId="62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222" fontId="62" fillId="0" borderId="0" applyFill="0" applyBorder="0" applyAlignment="0" applyProtection="0"/>
    <xf numFmtId="189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44" fontId="62" fillId="0" borderId="0" applyFill="0" applyBorder="0" applyAlignment="0" applyProtection="0"/>
    <xf numFmtId="176" fontId="26" fillId="0" borderId="0" applyFont="0" applyFill="0" applyBorder="0" applyAlignment="0" applyProtection="0"/>
    <xf numFmtId="189" fontId="9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223" fontId="29" fillId="0" borderId="0" applyFill="0" applyBorder="0" applyAlignment="0" applyProtection="0"/>
    <xf numFmtId="0" fontId="88" fillId="0" borderId="16" applyNumberFormat="0" applyFill="0" applyAlignment="0" applyProtection="0">
      <alignment vertical="center"/>
    </xf>
    <xf numFmtId="0" fontId="88" fillId="0" borderId="16" applyNumberFormat="0" applyFill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26" fillId="19" borderId="17" applyNumberFormat="0" applyFont="0" applyAlignment="0" applyProtection="0">
      <alignment vertical="center"/>
    </xf>
    <xf numFmtId="0" fontId="49" fillId="36" borderId="0" applyNumberFormat="0" applyBorder="0" applyAlignment="0" applyProtection="0"/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42" borderId="0" applyNumberFormat="0" applyBorder="0" applyAlignment="0" applyProtection="0"/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/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57" borderId="0" applyNumberFormat="0" applyBorder="0" applyAlignment="0" applyProtection="0"/>
    <xf numFmtId="0" fontId="49" fillId="58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9" fillId="36" borderId="0" applyNumberFormat="0" applyBorder="0" applyAlignment="0" applyProtection="0"/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46" borderId="0" applyNumberFormat="0" applyBorder="0" applyAlignment="0" applyProtection="0"/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10" fillId="0" borderId="0"/>
    <xf numFmtId="0" fontId="13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Protection="0">
      <alignment horizontal="left"/>
    </xf>
    <xf numFmtId="192" fontId="62" fillId="0" borderId="0" applyFill="0" applyBorder="0" applyProtection="0">
      <alignment horizontal="left"/>
    </xf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185" fontId="62" fillId="0" borderId="0" applyFill="0" applyBorder="0" applyAlignment="0" applyProtection="0"/>
    <xf numFmtId="192" fontId="62" fillId="0" borderId="0" applyFill="0" applyBorder="0" applyAlignment="0" applyProtection="0"/>
    <xf numFmtId="0" fontId="134" fillId="14" borderId="10" applyNumberFormat="0" applyAlignment="0" applyProtection="0"/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5" borderId="10" applyNumberFormat="0" applyAlignment="0" applyProtection="0">
      <alignment vertical="center"/>
    </xf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4" fillId="14" borderId="10" applyNumberFormat="0" applyAlignment="0" applyProtection="0"/>
    <xf numFmtId="0" fontId="135" fillId="16" borderId="18" applyNumberFormat="0" applyAlignment="0" applyProtection="0"/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7" borderId="18" applyNumberFormat="0" applyAlignment="0" applyProtection="0">
      <alignment vertical="center"/>
    </xf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135" fillId="16" borderId="18" applyNumberFormat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75" fillId="0" borderId="13" applyNumberFormat="0" applyFill="0" applyAlignment="0" applyProtection="0">
      <alignment vertical="center"/>
    </xf>
    <xf numFmtId="0" fontId="75" fillId="0" borderId="13" applyNumberFormat="0" applyFill="0" applyAlignment="0" applyProtection="0">
      <alignment vertical="center"/>
    </xf>
    <xf numFmtId="0" fontId="77" fillId="0" borderId="14" applyNumberFormat="0" applyFill="0" applyAlignment="0" applyProtection="0">
      <alignment vertical="center"/>
    </xf>
    <xf numFmtId="0" fontId="77" fillId="0" borderId="14" applyNumberFormat="0" applyFill="0" applyAlignment="0" applyProtection="0">
      <alignment vertical="center"/>
    </xf>
    <xf numFmtId="0" fontId="79" fillId="0" borderId="15" applyNumberFormat="0" applyFill="0" applyAlignment="0" applyProtection="0">
      <alignment vertical="center"/>
    </xf>
    <xf numFmtId="0" fontId="79" fillId="0" borderId="15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2" fillId="0" borderId="0"/>
    <xf numFmtId="0" fontId="59" fillId="0" borderId="0"/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82" fillId="15" borderId="10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02" fillId="29" borderId="18" applyNumberFormat="0" applyAlignment="0" applyProtection="0">
      <alignment vertical="center"/>
    </xf>
    <xf numFmtId="0" fontId="136" fillId="0" borderId="0" applyNumberForma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58" fillId="49" borderId="11" applyNumberFormat="0" applyAlignment="0" applyProtection="0">
      <alignment vertical="center"/>
    </xf>
    <xf numFmtId="0" fontId="58" fillId="49" borderId="11" applyNumberFormat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2" fillId="10" borderId="0" applyNumberFormat="0" applyBorder="0" applyAlignment="0" applyProtection="0"/>
    <xf numFmtId="0" fontId="141" fillId="6" borderId="0" applyNumberFormat="0" applyBorder="0" applyAlignment="0" applyProtection="0"/>
    <xf numFmtId="0" fontId="141" fillId="7" borderId="0" applyNumberFormat="0" applyBorder="0" applyAlignment="0" applyProtection="0"/>
    <xf numFmtId="0" fontId="141" fillId="6" borderId="0" applyNumberFormat="0" applyBorder="0" applyAlignment="0" applyProtection="0"/>
    <xf numFmtId="0" fontId="141" fillId="7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59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41" fillId="6" borderId="0" applyNumberFormat="0" applyBorder="0" applyAlignment="0" applyProtection="0"/>
    <xf numFmtId="0" fontId="141" fillId="7" borderId="0" applyNumberFormat="0" applyBorder="0" applyAlignment="0" applyProtection="0">
      <alignment vertical="center"/>
    </xf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140" fillId="6" borderId="0" applyNumberFormat="0" applyBorder="0" applyAlignment="0" applyProtection="0"/>
    <xf numFmtId="0" fontId="140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1" fillId="6" borderId="0" applyNumberFormat="0" applyBorder="0" applyAlignment="0" applyProtection="0"/>
    <xf numFmtId="0" fontId="51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/>
    <xf numFmtId="0" fontId="145" fillId="0" borderId="21" applyNumberFormat="0" applyFill="0" applyAlignment="0" applyProtection="0"/>
    <xf numFmtId="0" fontId="145" fillId="0" borderId="21" applyNumberFormat="0" applyFill="0" applyAlignment="0" applyProtection="0">
      <alignment vertical="center"/>
    </xf>
    <xf numFmtId="0" fontId="145" fillId="0" borderId="21" applyNumberFormat="0" applyFill="0" applyAlignment="0" applyProtection="0">
      <alignment vertical="center"/>
    </xf>
    <xf numFmtId="0" fontId="146" fillId="0" borderId="14" applyNumberFormat="0" applyFill="0" applyAlignment="0" applyProtection="0"/>
    <xf numFmtId="0" fontId="146" fillId="0" borderId="14" applyNumberFormat="0" applyFill="0" applyAlignment="0" applyProtection="0">
      <alignment vertical="center"/>
    </xf>
    <xf numFmtId="0" fontId="146" fillId="0" borderId="14" applyNumberFormat="0" applyFill="0" applyAlignment="0" applyProtection="0">
      <alignment vertical="center"/>
    </xf>
    <xf numFmtId="0" fontId="147" fillId="0" borderId="22" applyNumberFormat="0" applyFill="0" applyAlignment="0" applyProtection="0"/>
    <xf numFmtId="0" fontId="147" fillId="0" borderId="22" applyNumberFormat="0" applyFill="0" applyAlignment="0" applyProtection="0">
      <alignment vertical="center"/>
    </xf>
    <xf numFmtId="0" fontId="147" fillId="0" borderId="22" applyNumberFormat="0" applyFill="0" applyAlignment="0" applyProtection="0">
      <alignment vertical="center"/>
    </xf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/>
    <xf numFmtId="0" fontId="148" fillId="48" borderId="11" applyNumberFormat="0" applyAlignment="0" applyProtection="0"/>
    <xf numFmtId="0" fontId="148" fillId="49" borderId="11" applyNumberFormat="0" applyAlignment="0" applyProtection="0">
      <alignment vertical="center"/>
    </xf>
    <xf numFmtId="0" fontId="148" fillId="49" borderId="11" applyNumberFormat="0" applyAlignment="0" applyProtection="0">
      <alignment vertical="center"/>
    </xf>
    <xf numFmtId="0" fontId="149" fillId="0" borderId="23" applyNumberFormat="0" applyFill="0" applyAlignment="0" applyProtection="0"/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>
      <alignment vertical="center"/>
    </xf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49" fillId="0" borderId="23" applyNumberFormat="0" applyFill="0" applyAlignment="0" applyProtection="0"/>
    <xf numFmtId="0" fontId="150" fillId="16" borderId="10" applyNumberFormat="0" applyAlignment="0" applyProtection="0"/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7" borderId="10" applyNumberFormat="0" applyAlignment="0" applyProtection="0">
      <alignment vertical="center"/>
    </xf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0" fillId="16" borderId="10" applyNumberFormat="0" applyAlignment="0" applyProtection="0"/>
    <xf numFmtId="0" fontId="151" fillId="0" borderId="16" applyNumberFormat="0" applyFill="0" applyAlignment="0" applyProtection="0"/>
    <xf numFmtId="0" fontId="151" fillId="0" borderId="16" applyNumberFormat="0" applyFill="0" applyAlignment="0" applyProtection="0">
      <alignment vertical="center"/>
    </xf>
    <xf numFmtId="0" fontId="151" fillId="0" borderId="16" applyNumberFormat="0" applyFill="0" applyAlignment="0" applyProtection="0">
      <alignment vertical="center"/>
    </xf>
    <xf numFmtId="0" fontId="29" fillId="18" borderId="24" applyNumberFormat="0" applyAlignment="0" applyProtection="0"/>
    <xf numFmtId="0" fontId="62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99" fillId="19" borderId="24" applyNumberFormat="0" applyFont="0" applyAlignment="0" applyProtection="0"/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100" fillId="28" borderId="25" applyNumberFormat="0" applyAlignment="0" applyProtection="0"/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1" fillId="29" borderId="25" applyNumberFormat="0" applyAlignment="0" applyProtection="0">
      <alignment vertical="center"/>
    </xf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0" fillId="29" borderId="25" applyNumberFormat="0" applyAlignment="0" applyProtection="0"/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00" fillId="28" borderId="25" applyNumberFormat="0" applyAlignment="0" applyProtection="0"/>
    <xf numFmtId="0" fontId="110" fillId="0" borderId="26" applyNumberFormat="0" applyFill="0" applyAlignment="0" applyProtection="0"/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1" fillId="0" borderId="26" applyNumberFormat="0" applyFill="0" applyAlignment="0" applyProtection="0">
      <alignment vertical="center"/>
    </xf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112" fillId="0" borderId="26" applyNumberFormat="0" applyFill="0" applyAlignment="0" applyProtection="0">
      <alignment vertical="center"/>
    </xf>
    <xf numFmtId="0" fontId="29" fillId="18" borderId="24" applyNumberFormat="0" applyAlignment="0" applyProtection="0"/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121" fillId="19" borderId="24" applyNumberFormat="0" applyFont="0" applyAlignment="0" applyProtection="0">
      <alignment vertical="center"/>
    </xf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9" fillId="18" borderId="24" applyNumberFormat="0" applyAlignment="0" applyProtection="0"/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26" fillId="19" borderId="24" applyNumberFormat="0" applyFont="0" applyAlignment="0" applyProtection="0">
      <alignment vertical="center"/>
    </xf>
    <xf numFmtId="0" fontId="135" fillId="16" borderId="25" applyNumberFormat="0" applyAlignment="0" applyProtection="0"/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7" borderId="25" applyNumberFormat="0" applyAlignment="0" applyProtection="0">
      <alignment vertical="center"/>
    </xf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35" fillId="16" borderId="25" applyNumberFormat="0" applyAlignment="0" applyProtection="0"/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02" fillId="29" borderId="25" applyNumberFormat="0" applyAlignment="0" applyProtection="0">
      <alignment vertical="center"/>
    </xf>
    <xf numFmtId="0" fontId="149" fillId="0" borderId="27" applyNumberFormat="0" applyFill="0" applyAlignment="0" applyProtection="0"/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>
      <alignment vertical="center"/>
    </xf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149" fillId="0" borderId="27" applyNumberFormat="0" applyFill="0" applyAlignment="0" applyProtection="0"/>
    <xf numFmtId="0" fontId="62" fillId="0" borderId="0"/>
    <xf numFmtId="43" fontId="62" fillId="0" borderId="0" applyFont="0" applyFill="0" applyBorder="0" applyAlignment="0" applyProtection="0"/>
    <xf numFmtId="9" fontId="156" fillId="0" borderId="0" applyFont="0" applyFill="0" applyBorder="0" applyAlignment="0" applyProtection="0"/>
    <xf numFmtId="0" fontId="157" fillId="0" borderId="0"/>
    <xf numFmtId="9" fontId="62" fillId="0" borderId="0" applyFont="0" applyFill="0" applyBorder="0" applyAlignment="0" applyProtection="0">
      <alignment vertical="center"/>
    </xf>
    <xf numFmtId="0" fontId="53" fillId="28" borderId="40" applyNumberFormat="0" applyAlignment="0" applyProtection="0"/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4" fillId="29" borderId="40" applyNumberFormat="0" applyAlignment="0" applyProtection="0">
      <alignment vertical="center"/>
    </xf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3" fillId="29" borderId="40" applyNumberFormat="0" applyAlignment="0" applyProtection="0"/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53" fillId="28" borderId="40" applyNumberFormat="0" applyAlignment="0" applyProtection="0"/>
    <xf numFmtId="0" fontId="9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80" fillId="14" borderId="40" applyNumberFormat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10" fontId="73" fillId="51" borderId="28" applyNumberFormat="0" applyBorder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1" fillId="15" borderId="40" applyNumberFormat="0" applyAlignment="0" applyProtection="0">
      <alignment vertical="center"/>
    </xf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0" fillId="15" borderId="40" applyNumberFormat="0" applyAlignment="0" applyProtection="0"/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0" fillId="14" borderId="40" applyNumberFormat="0" applyAlignment="0" applyProtection="0"/>
    <xf numFmtId="0" fontId="84" fillId="52" borderId="41"/>
    <xf numFmtId="0" fontId="84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4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5" fillId="53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84" fillId="52" borderId="41"/>
    <xf numFmtId="0" fontId="29" fillId="18" borderId="42" applyNumberFormat="0" applyAlignment="0" applyProtection="0"/>
    <xf numFmtId="0" fontId="62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100" fillId="28" borderId="43" applyNumberFormat="0" applyAlignment="0" applyProtection="0"/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9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66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9" fillId="0" borderId="41"/>
    <xf numFmtId="0" fontId="110" fillId="0" borderId="44" applyNumberFormat="0" applyFill="0" applyAlignment="0" applyProtection="0"/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84" fillId="0" borderId="41"/>
    <xf numFmtId="0" fontId="84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5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84" fillId="0" borderId="41"/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29" fillId="18" borderId="42" applyNumberFormat="0" applyAlignment="0" applyProtection="0"/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55" fillId="29" borderId="40" applyNumberForma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134" fillId="14" borderId="40" applyNumberFormat="0" applyAlignment="0" applyProtection="0"/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5" borderId="40" applyNumberFormat="0" applyAlignment="0" applyProtection="0">
      <alignment vertical="center"/>
    </xf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4" fillId="14" borderId="40" applyNumberFormat="0" applyAlignment="0" applyProtection="0"/>
    <xf numFmtId="0" fontId="135" fillId="16" borderId="43" applyNumberFormat="0" applyAlignment="0" applyProtection="0"/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82" fillId="15" borderId="40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49" fillId="0" borderId="45" applyNumberFormat="0" applyFill="0" applyAlignment="0" applyProtection="0"/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50" fillId="16" borderId="40" applyNumberFormat="0" applyAlignment="0" applyProtection="0"/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7" borderId="40" applyNumberFormat="0" applyAlignment="0" applyProtection="0">
      <alignment vertical="center"/>
    </xf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150" fillId="16" borderId="40" applyNumberFormat="0" applyAlignment="0" applyProtection="0"/>
    <xf numFmtId="0" fontId="29" fillId="18" borderId="42" applyNumberFormat="0" applyAlignment="0" applyProtection="0"/>
    <xf numFmtId="0" fontId="62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99" fillId="19" borderId="42" applyNumberFormat="0" applyFont="0" applyAlignment="0" applyProtection="0"/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100" fillId="28" borderId="43" applyNumberFormat="0" applyAlignment="0" applyProtection="0"/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1" fillId="29" borderId="43" applyNumberFormat="0" applyAlignment="0" applyProtection="0">
      <alignment vertical="center"/>
    </xf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0" fillId="29" borderId="43" applyNumberFormat="0" applyAlignment="0" applyProtection="0"/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00" fillId="28" borderId="43" applyNumberFormat="0" applyAlignment="0" applyProtection="0"/>
    <xf numFmtId="0" fontId="110" fillId="0" borderId="44" applyNumberFormat="0" applyFill="0" applyAlignment="0" applyProtection="0"/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1" fillId="0" borderId="44" applyNumberFormat="0" applyFill="0" applyAlignment="0" applyProtection="0">
      <alignment vertical="center"/>
    </xf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0" fillId="0" borderId="44" applyNumberFormat="0" applyFill="0" applyAlignment="0" applyProtection="0"/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112" fillId="0" borderId="44" applyNumberFormat="0" applyFill="0" applyAlignment="0" applyProtection="0">
      <alignment vertical="center"/>
    </xf>
    <xf numFmtId="0" fontId="29" fillId="18" borderId="42" applyNumberFormat="0" applyAlignment="0" applyProtection="0"/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121" fillId="19" borderId="42" applyNumberFormat="0" applyFont="0" applyAlignment="0" applyProtection="0">
      <alignment vertical="center"/>
    </xf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9" fillId="18" borderId="42" applyNumberFormat="0" applyAlignment="0" applyProtection="0"/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26" fillId="19" borderId="42" applyNumberFormat="0" applyFont="0" applyAlignment="0" applyProtection="0">
      <alignment vertical="center"/>
    </xf>
    <xf numFmtId="0" fontId="135" fillId="16" borderId="43" applyNumberFormat="0" applyAlignment="0" applyProtection="0"/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7" borderId="43" applyNumberFormat="0" applyAlignment="0" applyProtection="0">
      <alignment vertical="center"/>
    </xf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35" fillId="16" borderId="43" applyNumberFormat="0" applyAlignment="0" applyProtection="0"/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02" fillId="29" borderId="43" applyNumberFormat="0" applyAlignment="0" applyProtection="0">
      <alignment vertical="center"/>
    </xf>
    <xf numFmtId="0" fontId="149" fillId="0" borderId="45" applyNumberFormat="0" applyFill="0" applyAlignment="0" applyProtection="0"/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>
      <alignment vertical="center"/>
    </xf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</cellStyleXfs>
  <cellXfs count="280">
    <xf numFmtId="0" fontId="0" fillId="0" borderId="0" xfId="0">
      <alignment vertical="center"/>
    </xf>
    <xf numFmtId="0" fontId="12" fillId="0" borderId="0" xfId="0" applyFont="1">
      <alignment vertical="center"/>
    </xf>
    <xf numFmtId="43" fontId="12" fillId="0" borderId="0" xfId="1" applyFont="1">
      <alignment vertical="center"/>
    </xf>
    <xf numFmtId="14" fontId="12" fillId="0" borderId="0" xfId="0" applyNumberFormat="1" applyFont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49" fontId="9" fillId="0" borderId="1" xfId="0" quotePrefix="1" applyNumberFormat="1" applyFont="1" applyFill="1" applyBorder="1" applyAlignment="1">
      <alignment horizontal="center" vertical="center"/>
    </xf>
    <xf numFmtId="40" fontId="9" fillId="0" borderId="1" xfId="6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0" fontId="15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180" fontId="15" fillId="0" borderId="1" xfId="0" quotePrefix="1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Fill="1">
      <alignment vertical="center"/>
    </xf>
    <xf numFmtId="180" fontId="152" fillId="0" borderId="1" xfId="0" applyNumberFormat="1" applyFont="1" applyFill="1" applyBorder="1" applyAlignment="1">
      <alignment horizontal="center" vertical="center"/>
    </xf>
    <xf numFmtId="0" fontId="9" fillId="0" borderId="1" xfId="0" quotePrefix="1" applyFont="1" applyFill="1" applyBorder="1" applyAlignment="1">
      <alignment horizontal="center" vertical="center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center" vertical="center" wrapText="1"/>
    </xf>
    <xf numFmtId="180" fontId="23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179" fontId="9" fillId="0" borderId="1" xfId="0" quotePrefix="1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1" fillId="0" borderId="29" xfId="3" applyFont="1" applyBorder="1" applyAlignment="1">
      <alignment horizontal="center" vertical="center"/>
    </xf>
    <xf numFmtId="0" fontId="11" fillId="0" borderId="31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20" fillId="0" borderId="1" xfId="7" quotePrefix="1" applyNumberFormat="1" applyFill="1" applyBorder="1" applyAlignment="1">
      <alignment horizontal="center" vertical="center"/>
    </xf>
    <xf numFmtId="14" fontId="14" fillId="0" borderId="0" xfId="0" applyNumberFormat="1" applyFont="1" applyFill="1" applyAlignment="1">
      <alignment horizontal="left" vertical="center"/>
    </xf>
    <xf numFmtId="1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>
      <alignment vertical="center"/>
    </xf>
    <xf numFmtId="40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right" vertical="center"/>
    </xf>
    <xf numFmtId="14" fontId="16" fillId="0" borderId="0" xfId="0" applyNumberFormat="1" applyFont="1" applyFill="1" applyAlignment="1">
      <alignment horizontal="left" vertical="center"/>
    </xf>
    <xf numFmtId="14" fontId="15" fillId="0" borderId="0" xfId="0" applyNumberFormat="1" applyFont="1" applyFill="1" applyAlignment="1">
      <alignment horizontal="left" vertical="center"/>
    </xf>
    <xf numFmtId="14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40" fontId="17" fillId="0" borderId="1" xfId="0" applyNumberFormat="1" applyFont="1" applyFill="1" applyBorder="1" applyAlignment="1">
      <alignment horizontal="center" vertical="center"/>
    </xf>
    <xf numFmtId="14" fontId="15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left" vertical="center" wrapText="1"/>
    </xf>
    <xf numFmtId="40" fontId="9" fillId="0" borderId="28" xfId="6" applyNumberFormat="1" applyFont="1" applyFill="1" applyBorder="1" applyAlignment="1">
      <alignment horizontal="center" vertical="center"/>
    </xf>
    <xf numFmtId="49" fontId="15" fillId="0" borderId="1" xfId="0" quotePrefix="1" applyNumberFormat="1" applyFont="1" applyFill="1" applyBorder="1" applyAlignment="1">
      <alignment horizontal="center" vertical="center"/>
    </xf>
    <xf numFmtId="0" fontId="9" fillId="0" borderId="28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14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vertical="center" wrapText="1"/>
    </xf>
    <xf numFmtId="40" fontId="9" fillId="0" borderId="0" xfId="1" applyNumberFormat="1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/>
    <xf numFmtId="40" fontId="14" fillId="0" borderId="0" xfId="0" applyNumberFormat="1" applyFont="1" applyFill="1" applyAlignment="1">
      <alignment horizontal="center" vertical="center"/>
    </xf>
    <xf numFmtId="14" fontId="21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43" fontId="15" fillId="0" borderId="0" xfId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43" fontId="15" fillId="0" borderId="6" xfId="1" applyFont="1" applyFill="1" applyBorder="1" applyAlignment="1">
      <alignment horizontal="center" vertical="center"/>
    </xf>
    <xf numFmtId="43" fontId="15" fillId="0" borderId="0" xfId="0" applyNumberFormat="1" applyFont="1" applyFill="1" applyAlignment="1">
      <alignment horizontal="center" vertical="center"/>
    </xf>
    <xf numFmtId="43" fontId="15" fillId="0" borderId="0" xfId="0" applyNumberFormat="1" applyFont="1" applyFill="1">
      <alignment vertical="center"/>
    </xf>
    <xf numFmtId="0" fontId="11" fillId="0" borderId="30" xfId="3" applyFont="1" applyBorder="1" applyAlignment="1">
      <alignment horizontal="center" vertical="center"/>
    </xf>
    <xf numFmtId="43" fontId="11" fillId="0" borderId="30" xfId="1" applyFont="1" applyBorder="1" applyAlignment="1">
      <alignment horizontal="center" vertical="center"/>
    </xf>
    <xf numFmtId="0" fontId="9" fillId="0" borderId="37" xfId="3" applyFont="1" applyBorder="1" applyAlignment="1">
      <alignment horizontal="center" vertical="center" wrapText="1"/>
    </xf>
    <xf numFmtId="43" fontId="9" fillId="0" borderId="37" xfId="1" applyFont="1" applyBorder="1" applyAlignment="1">
      <alignment horizontal="left" vertical="center" wrapText="1" indent="2"/>
    </xf>
    <xf numFmtId="0" fontId="9" fillId="0" borderId="37" xfId="3" applyFont="1" applyBorder="1" applyAlignment="1">
      <alignment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/>
    </xf>
    <xf numFmtId="0" fontId="9" fillId="0" borderId="28" xfId="0" quotePrefix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40" fontId="17" fillId="60" borderId="1" xfId="0" applyNumberFormat="1" applyFont="1" applyFill="1" applyBorder="1" applyAlignment="1">
      <alignment horizontal="center" vertical="center"/>
    </xf>
    <xf numFmtId="40" fontId="9" fillId="60" borderId="1" xfId="6" applyNumberFormat="1" applyFont="1" applyFill="1" applyBorder="1" applyAlignment="1">
      <alignment horizontal="center" vertical="center"/>
    </xf>
    <xf numFmtId="43" fontId="17" fillId="0" borderId="1" xfId="1" applyFont="1" applyFill="1" applyBorder="1" applyAlignment="1">
      <alignment horizontal="center" vertical="center"/>
    </xf>
    <xf numFmtId="43" fontId="9" fillId="0" borderId="28" xfId="1" applyFont="1" applyFill="1" applyBorder="1" applyAlignment="1">
      <alignment horizontal="left" vertical="center" wrapText="1"/>
    </xf>
    <xf numFmtId="43" fontId="9" fillId="0" borderId="0" xfId="1" applyFont="1" applyFill="1" applyAlignment="1">
      <alignment horizontal="center" vertical="center"/>
    </xf>
    <xf numFmtId="43" fontId="14" fillId="0" borderId="0" xfId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32" xfId="3" applyNumberFormat="1" applyFont="1" applyBorder="1" applyAlignment="1">
      <alignment horizontal="center" vertical="center"/>
    </xf>
    <xf numFmtId="14" fontId="9" fillId="0" borderId="34" xfId="3" applyNumberFormat="1" applyFont="1" applyBorder="1" applyAlignment="1">
      <alignment horizontal="center" vertical="center" wrapText="1"/>
    </xf>
    <xf numFmtId="0" fontId="11" fillId="0" borderId="30" xfId="3" applyFont="1" applyBorder="1" applyAlignment="1">
      <alignment horizontal="center" vertical="center" wrapText="1"/>
    </xf>
    <xf numFmtId="9" fontId="12" fillId="0" borderId="0" xfId="2" applyFont="1">
      <alignment vertical="center"/>
    </xf>
    <xf numFmtId="43" fontId="7" fillId="63" borderId="1" xfId="1" applyFont="1" applyFill="1" applyBorder="1" applyAlignment="1">
      <alignment horizontal="center" vertical="center" wrapText="1"/>
    </xf>
    <xf numFmtId="0" fontId="13" fillId="64" borderId="0" xfId="0" applyFont="1" applyFill="1" applyAlignment="1">
      <alignment horizontal="center" vertical="center"/>
    </xf>
    <xf numFmtId="0" fontId="13" fillId="64" borderId="0" xfId="0" applyFont="1" applyFill="1">
      <alignment vertical="center"/>
    </xf>
    <xf numFmtId="43" fontId="19" fillId="0" borderId="0" xfId="1" applyFont="1" applyFill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20" fillId="0" borderId="37" xfId="7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37" xfId="3" quotePrefix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43" fontId="9" fillId="0" borderId="38" xfId="1" applyFont="1" applyBorder="1" applyAlignment="1">
      <alignment horizontal="left" vertical="center" wrapText="1" indent="2"/>
    </xf>
    <xf numFmtId="0" fontId="15" fillId="0" borderId="38" xfId="0" quotePrefix="1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 wrapText="1"/>
    </xf>
    <xf numFmtId="0" fontId="9" fillId="62" borderId="35" xfId="3" applyFont="1" applyFill="1" applyBorder="1" applyAlignment="1">
      <alignment horizontal="center" vertical="center"/>
    </xf>
    <xf numFmtId="0" fontId="9" fillId="62" borderId="38" xfId="3" applyFont="1" applyFill="1" applyBorder="1" applyAlignment="1">
      <alignment horizontal="center" vertical="center"/>
    </xf>
    <xf numFmtId="0" fontId="9" fillId="62" borderId="1" xfId="0" applyFont="1" applyFill="1" applyBorder="1" applyAlignment="1">
      <alignment horizontal="left" vertical="center" wrapText="1"/>
    </xf>
    <xf numFmtId="0" fontId="9" fillId="62" borderId="37" xfId="3" applyFont="1" applyFill="1" applyBorder="1" applyAlignment="1">
      <alignment horizontal="center" vertical="center" wrapText="1"/>
    </xf>
    <xf numFmtId="43" fontId="9" fillId="62" borderId="38" xfId="1" applyFont="1" applyFill="1" applyBorder="1" applyAlignment="1">
      <alignment horizontal="left" vertical="center" wrapText="1" indent="2"/>
    </xf>
    <xf numFmtId="43" fontId="9" fillId="62" borderId="37" xfId="1" applyFont="1" applyFill="1" applyBorder="1" applyAlignment="1">
      <alignment horizontal="left" vertical="center" wrapText="1" indent="2"/>
    </xf>
    <xf numFmtId="0" fontId="9" fillId="62" borderId="38" xfId="3" applyFont="1" applyFill="1" applyBorder="1" applyAlignment="1">
      <alignment horizontal="center" vertical="center" wrapText="1"/>
    </xf>
    <xf numFmtId="14" fontId="9" fillId="62" borderId="34" xfId="3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43" fontId="9" fillId="2" borderId="38" xfId="1" applyFont="1" applyFill="1" applyBorder="1" applyAlignment="1">
      <alignment horizontal="left" vertical="center" indent="2"/>
    </xf>
    <xf numFmtId="0" fontId="159" fillId="0" borderId="37" xfId="3" applyFont="1" applyBorder="1" applyAlignment="1">
      <alignment horizontal="center" vertical="center" wrapText="1"/>
    </xf>
    <xf numFmtId="43" fontId="9" fillId="0" borderId="38" xfId="1" applyFont="1" applyBorder="1" applyAlignment="1">
      <alignment horizontal="left" vertical="center" indent="2"/>
    </xf>
    <xf numFmtId="0" fontId="9" fillId="0" borderId="38" xfId="3" quotePrefix="1" applyFont="1" applyBorder="1" applyAlignment="1">
      <alignment horizontal="center" vertical="center" wrapText="1"/>
    </xf>
    <xf numFmtId="14" fontId="9" fillId="0" borderId="34" xfId="3" quotePrefix="1" applyNumberFormat="1" applyFont="1" applyBorder="1" applyAlignment="1">
      <alignment horizontal="center" vertical="center" wrapText="1"/>
    </xf>
    <xf numFmtId="0" fontId="18" fillId="0" borderId="37" xfId="3" applyFont="1" applyBorder="1" applyAlignment="1">
      <alignment vertical="center" wrapText="1"/>
    </xf>
    <xf numFmtId="0" fontId="15" fillId="0" borderId="38" xfId="3" quotePrefix="1" applyFont="1" applyBorder="1" applyAlignment="1">
      <alignment horizontal="center" vertical="center" wrapText="1"/>
    </xf>
    <xf numFmtId="0" fontId="159" fillId="0" borderId="1" xfId="0" applyFont="1" applyFill="1" applyBorder="1" applyAlignment="1">
      <alignment horizontal="left" vertical="center" wrapText="1"/>
    </xf>
    <xf numFmtId="0" fontId="9" fillId="2" borderId="38" xfId="3" applyFont="1" applyFill="1" applyBorder="1" applyAlignment="1">
      <alignment horizontal="center" vertical="center"/>
    </xf>
    <xf numFmtId="0" fontId="162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66" borderId="1" xfId="0" applyFont="1" applyFill="1" applyBorder="1" applyAlignment="1">
      <alignment horizontal="center" vertical="center"/>
    </xf>
    <xf numFmtId="14" fontId="9" fillId="66" borderId="1" xfId="0" applyNumberFormat="1" applyFont="1" applyFill="1" applyBorder="1" applyAlignment="1">
      <alignment horizontal="center" vertical="center"/>
    </xf>
    <xf numFmtId="49" fontId="9" fillId="66" borderId="1" xfId="0" applyNumberFormat="1" applyFont="1" applyFill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 wrapText="1"/>
    </xf>
    <xf numFmtId="49" fontId="9" fillId="66" borderId="1" xfId="0" quotePrefix="1" applyNumberFormat="1" applyFont="1" applyFill="1" applyBorder="1" applyAlignment="1">
      <alignment horizontal="center" vertical="center"/>
    </xf>
    <xf numFmtId="0" fontId="9" fillId="66" borderId="1" xfId="0" quotePrefix="1" applyFont="1" applyFill="1" applyBorder="1" applyAlignment="1">
      <alignment horizontal="center" vertical="center"/>
    </xf>
    <xf numFmtId="0" fontId="9" fillId="62" borderId="1" xfId="0" applyFont="1" applyFill="1" applyBorder="1" applyAlignment="1">
      <alignment horizontal="center" vertical="center"/>
    </xf>
    <xf numFmtId="14" fontId="9" fillId="62" borderId="1" xfId="0" applyNumberFormat="1" applyFont="1" applyFill="1" applyBorder="1" applyAlignment="1">
      <alignment horizontal="center" vertical="center"/>
    </xf>
    <xf numFmtId="49" fontId="9" fillId="62" borderId="1" xfId="0" applyNumberFormat="1" applyFont="1" applyFill="1" applyBorder="1" applyAlignment="1">
      <alignment horizontal="center" vertical="center"/>
    </xf>
    <xf numFmtId="0" fontId="9" fillId="62" borderId="1" xfId="0" quotePrefix="1" applyFont="1" applyFill="1" applyBorder="1" applyAlignment="1">
      <alignment horizontal="center" vertical="center"/>
    </xf>
    <xf numFmtId="40" fontId="9" fillId="66" borderId="1" xfId="6" applyNumberFormat="1" applyFont="1" applyFill="1" applyBorder="1" applyAlignment="1">
      <alignment horizontal="center" vertical="center"/>
    </xf>
    <xf numFmtId="40" fontId="9" fillId="62" borderId="1" xfId="6" applyNumberFormat="1" applyFont="1" applyFill="1" applyBorder="1" applyAlignment="1">
      <alignment horizontal="center" vertical="center"/>
    </xf>
    <xf numFmtId="0" fontId="9" fillId="66" borderId="28" xfId="0" applyFont="1" applyFill="1" applyBorder="1" applyAlignment="1">
      <alignment horizontal="left" vertical="center" wrapText="1"/>
    </xf>
    <xf numFmtId="40" fontId="9" fillId="66" borderId="28" xfId="6" applyNumberFormat="1" applyFont="1" applyFill="1" applyBorder="1" applyAlignment="1">
      <alignment horizontal="center" vertical="center"/>
    </xf>
    <xf numFmtId="49" fontId="15" fillId="66" borderId="1" xfId="0" quotePrefix="1" applyNumberFormat="1" applyFont="1" applyFill="1" applyBorder="1" applyAlignment="1">
      <alignment horizontal="center" vertical="center"/>
    </xf>
    <xf numFmtId="180" fontId="15" fillId="66" borderId="1" xfId="0" applyNumberFormat="1" applyFont="1" applyFill="1" applyBorder="1" applyAlignment="1">
      <alignment horizontal="center" vertical="center"/>
    </xf>
    <xf numFmtId="0" fontId="9" fillId="66" borderId="1" xfId="0" applyFont="1" applyFill="1" applyBorder="1" applyAlignment="1">
      <alignment horizontal="center" vertical="center" wrapText="1"/>
    </xf>
    <xf numFmtId="180" fontId="152" fillId="66" borderId="1" xfId="0" applyNumberFormat="1" applyFont="1" applyFill="1" applyBorder="1" applyAlignment="1">
      <alignment horizontal="center" vertical="center"/>
    </xf>
    <xf numFmtId="0" fontId="9" fillId="66" borderId="28" xfId="0" applyFont="1" applyFill="1" applyBorder="1">
      <alignment vertical="center"/>
    </xf>
    <xf numFmtId="0" fontId="9" fillId="66" borderId="0" xfId="0" applyFont="1" applyFill="1" applyAlignment="1">
      <alignment vertical="center"/>
    </xf>
    <xf numFmtId="0" fontId="9" fillId="66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14" fontId="163" fillId="0" borderId="0" xfId="0" applyNumberFormat="1" applyFont="1" applyAlignment="1">
      <alignment vertical="top"/>
    </xf>
    <xf numFmtId="14" fontId="7" fillId="0" borderId="0" xfId="0" applyNumberFormat="1" applyFont="1" applyFill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0" fontId="164" fillId="0" borderId="0" xfId="0" applyFont="1">
      <alignment vertical="center"/>
    </xf>
    <xf numFmtId="0" fontId="5" fillId="0" borderId="0" xfId="0" applyFont="1" applyFill="1">
      <alignment vertical="center"/>
    </xf>
    <xf numFmtId="14" fontId="7" fillId="0" borderId="0" xfId="0" applyNumberFormat="1" applyFont="1" applyAlignment="1">
      <alignment horizontal="left" vertical="center" wrapText="1"/>
    </xf>
    <xf numFmtId="14" fontId="7" fillId="0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10" fontId="7" fillId="0" borderId="0" xfId="0" applyNumberFormat="1" applyFont="1" applyAlignment="1">
      <alignment horizontal="left" vertical="center"/>
    </xf>
    <xf numFmtId="43" fontId="7" fillId="0" borderId="0" xfId="1" applyFont="1" applyAlignment="1">
      <alignment horizontal="right" vertical="center"/>
    </xf>
    <xf numFmtId="43" fontId="5" fillId="0" borderId="0" xfId="1" applyFont="1" applyAlignment="1">
      <alignment horizontal="left" vertical="top"/>
    </xf>
    <xf numFmtId="0" fontId="5" fillId="0" borderId="39" xfId="0" applyFont="1" applyBorder="1">
      <alignment vertical="center"/>
    </xf>
    <xf numFmtId="43" fontId="7" fillId="0" borderId="0" xfId="1" applyFont="1" applyAlignment="1">
      <alignment horizontal="left" vertical="center"/>
    </xf>
    <xf numFmtId="43" fontId="7" fillId="0" borderId="6" xfId="1" applyFont="1" applyBorder="1" applyAlignment="1">
      <alignment horizontal="left" vertical="center"/>
    </xf>
    <xf numFmtId="43" fontId="5" fillId="0" borderId="0" xfId="0" applyNumberFormat="1" applyFont="1">
      <alignment vertical="center"/>
    </xf>
    <xf numFmtId="43" fontId="7" fillId="0" borderId="0" xfId="1" applyFont="1" applyFill="1" applyAlignment="1">
      <alignment horizontal="center" vertical="top"/>
    </xf>
    <xf numFmtId="43" fontId="5" fillId="0" borderId="0" xfId="1" applyFont="1" applyAlignment="1">
      <alignment horizontal="center" vertical="center"/>
    </xf>
    <xf numFmtId="43" fontId="7" fillId="0" borderId="0" xfId="1" applyFont="1" applyAlignment="1">
      <alignment horizontal="center" vertical="top"/>
    </xf>
    <xf numFmtId="43" fontId="7" fillId="0" borderId="0" xfId="1" applyFont="1" applyBorder="1" applyAlignment="1">
      <alignment horizontal="center" vertical="center"/>
    </xf>
    <xf numFmtId="43" fontId="163" fillId="0" borderId="0" xfId="1" applyFont="1" applyFill="1" applyAlignment="1">
      <alignment horizontal="center" vertical="top"/>
    </xf>
    <xf numFmtId="40" fontId="163" fillId="0" borderId="0" xfId="1" applyNumberFormat="1" applyFont="1" applyFill="1" applyAlignment="1">
      <alignment horizontal="left" vertical="top"/>
    </xf>
    <xf numFmtId="10" fontId="5" fillId="0" borderId="0" xfId="2" applyNumberFormat="1" applyFont="1" applyAlignment="1">
      <alignment horizontal="left" vertical="top"/>
    </xf>
    <xf numFmtId="43" fontId="165" fillId="0" borderId="0" xfId="1" applyFont="1" applyFill="1" applyAlignment="1">
      <alignment horizontal="center" vertical="top"/>
    </xf>
    <xf numFmtId="10" fontId="5" fillId="0" borderId="0" xfId="1" applyNumberFormat="1" applyFont="1">
      <alignment vertical="center"/>
    </xf>
    <xf numFmtId="43" fontId="5" fillId="0" borderId="0" xfId="1" applyFont="1">
      <alignment vertical="center"/>
    </xf>
    <xf numFmtId="43" fontId="5" fillId="0" borderId="0" xfId="1" applyFont="1" applyAlignment="1">
      <alignment horizontal="right" vertical="center"/>
    </xf>
    <xf numFmtId="0" fontId="5" fillId="61" borderId="0" xfId="0" applyFont="1" applyFill="1" applyAlignment="1">
      <alignment horizontal="right" vertical="center"/>
    </xf>
    <xf numFmtId="43" fontId="5" fillId="61" borderId="0" xfId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left" vertical="center"/>
    </xf>
    <xf numFmtId="43" fontId="7" fillId="3" borderId="2" xfId="1" applyFont="1" applyFill="1" applyBorder="1" applyAlignment="1">
      <alignment horizontal="center" vertical="center" wrapText="1"/>
    </xf>
    <xf numFmtId="0" fontId="166" fillId="3" borderId="3" xfId="0" applyFont="1" applyFill="1" applyBorder="1" applyAlignment="1">
      <alignment horizontal="center" vertical="center" wrapText="1"/>
    </xf>
    <xf numFmtId="43" fontId="167" fillId="3" borderId="3" xfId="1" applyFont="1" applyFill="1" applyBorder="1" applyAlignment="1">
      <alignment horizontal="center" vertical="center" wrapText="1"/>
    </xf>
    <xf numFmtId="43" fontId="166" fillId="3" borderId="3" xfId="1" applyFont="1" applyFill="1" applyBorder="1" applyAlignment="1">
      <alignment horizontal="center" vertical="center" wrapText="1"/>
    </xf>
    <xf numFmtId="43" fontId="166" fillId="63" borderId="1" xfId="1" applyFont="1" applyFill="1" applyBorder="1" applyAlignment="1">
      <alignment horizontal="center" vertical="center" wrapText="1"/>
    </xf>
    <xf numFmtId="0" fontId="160" fillId="0" borderId="0" xfId="0" applyFont="1" applyAlignment="1">
      <alignment vertical="center" wrapText="1"/>
    </xf>
    <xf numFmtId="0" fontId="165" fillId="0" borderId="7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40" fontId="168" fillId="0" borderId="1" xfId="7" applyNumberFormat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0" fontId="169" fillId="0" borderId="0" xfId="0" applyFont="1">
      <alignment vertical="center"/>
    </xf>
    <xf numFmtId="14" fontId="5" fillId="0" borderId="7" xfId="0" applyNumberFormat="1" applyFont="1" applyFill="1" applyBorder="1" applyAlignment="1">
      <alignment horizontal="center" vertical="center"/>
    </xf>
    <xf numFmtId="40" fontId="5" fillId="0" borderId="1" xfId="1" applyNumberFormat="1" applyFont="1" applyBorder="1" applyAlignment="1">
      <alignment horizontal="center" vertical="center"/>
    </xf>
    <xf numFmtId="40" fontId="170" fillId="2" borderId="6" xfId="0" applyNumberFormat="1" applyFont="1" applyFill="1" applyBorder="1">
      <alignment vertical="center"/>
    </xf>
    <xf numFmtId="40" fontId="170" fillId="2" borderId="6" xfId="0" applyNumberFormat="1" applyFont="1" applyFill="1" applyBorder="1" applyAlignment="1">
      <alignment horizontal="center" vertical="center"/>
    </xf>
    <xf numFmtId="40" fontId="7" fillId="2" borderId="6" xfId="0" applyNumberFormat="1" applyFont="1" applyFill="1" applyBorder="1" applyAlignment="1">
      <alignment horizontal="center" vertical="center"/>
    </xf>
    <xf numFmtId="9" fontId="7" fillId="2" borderId="6" xfId="2" applyFont="1" applyFill="1" applyBorder="1" applyAlignment="1">
      <alignment horizontal="center" vertical="center"/>
    </xf>
    <xf numFmtId="0" fontId="170" fillId="0" borderId="0" xfId="0" applyFont="1">
      <alignment vertical="center"/>
    </xf>
    <xf numFmtId="40" fontId="163" fillId="0" borderId="0" xfId="0" applyNumberFormat="1" applyFont="1">
      <alignment vertical="center"/>
    </xf>
    <xf numFmtId="40" fontId="5" fillId="0" borderId="0" xfId="0" applyNumberFormat="1" applyFont="1" applyAlignment="1">
      <alignment horizontal="center" vertical="center"/>
    </xf>
    <xf numFmtId="0" fontId="5" fillId="0" borderId="4" xfId="0" applyFont="1" applyBorder="1">
      <alignment vertical="center"/>
    </xf>
    <xf numFmtId="40" fontId="7" fillId="0" borderId="0" xfId="0" applyNumberFormat="1" applyFont="1" applyAlignment="1">
      <alignment horizontal="center" vertical="center"/>
    </xf>
    <xf numFmtId="14" fontId="5" fillId="0" borderId="5" xfId="0" applyNumberFormat="1" applyFont="1" applyBorder="1" applyAlignment="1">
      <alignment horizontal="left" vertical="center"/>
    </xf>
    <xf numFmtId="14" fontId="5" fillId="0" borderId="0" xfId="0" applyNumberFormat="1" applyFont="1" applyAlignment="1">
      <alignment horizontal="right" vertical="center"/>
    </xf>
    <xf numFmtId="43" fontId="163" fillId="62" borderId="0" xfId="1" applyFont="1" applyFill="1" applyAlignment="1">
      <alignment horizontal="center" vertical="top"/>
    </xf>
    <xf numFmtId="40" fontId="163" fillId="62" borderId="0" xfId="1" applyNumberFormat="1" applyFont="1" applyFill="1" applyAlignment="1">
      <alignment horizontal="left" vertical="top"/>
    </xf>
    <xf numFmtId="43" fontId="5" fillId="62" borderId="0" xfId="0" applyNumberFormat="1" applyFont="1" applyFill="1">
      <alignment vertical="center"/>
    </xf>
    <xf numFmtId="0" fontId="5" fillId="62" borderId="0" xfId="0" applyFont="1" applyFill="1">
      <alignment vertical="center"/>
    </xf>
    <xf numFmtId="0" fontId="9" fillId="65" borderId="35" xfId="3" applyFont="1" applyFill="1" applyBorder="1" applyAlignment="1">
      <alignment horizontal="center" vertical="center"/>
    </xf>
    <xf numFmtId="0" fontId="9" fillId="65" borderId="38" xfId="3" applyFont="1" applyFill="1" applyBorder="1" applyAlignment="1">
      <alignment horizontal="center" vertical="center"/>
    </xf>
    <xf numFmtId="0" fontId="9" fillId="65" borderId="37" xfId="3" applyFont="1" applyFill="1" applyBorder="1" applyAlignment="1">
      <alignment vertical="center" wrapText="1"/>
    </xf>
    <xf numFmtId="0" fontId="18" fillId="65" borderId="37" xfId="3" applyFont="1" applyFill="1" applyBorder="1" applyAlignment="1">
      <alignment vertical="center" wrapText="1"/>
    </xf>
    <xf numFmtId="0" fontId="9" fillId="65" borderId="37" xfId="3" applyFont="1" applyFill="1" applyBorder="1" applyAlignment="1">
      <alignment horizontal="center" vertical="center" wrapText="1"/>
    </xf>
    <xf numFmtId="43" fontId="9" fillId="65" borderId="37" xfId="1" applyFont="1" applyFill="1" applyBorder="1" applyAlignment="1">
      <alignment horizontal="left" vertical="center" wrapText="1" indent="2"/>
    </xf>
    <xf numFmtId="14" fontId="9" fillId="65" borderId="36" xfId="3" applyNumberFormat="1" applyFont="1" applyFill="1" applyBorder="1" applyAlignment="1">
      <alignment horizontal="center" vertical="center" wrapText="1"/>
    </xf>
    <xf numFmtId="0" fontId="9" fillId="66" borderId="1" xfId="0" applyNumberFormat="1" applyFont="1" applyFill="1" applyBorder="1" applyAlignment="1">
      <alignment horizontal="center" vertical="center"/>
    </xf>
    <xf numFmtId="0" fontId="9" fillId="66" borderId="28" xfId="0" quotePrefix="1" applyFont="1" applyFill="1" applyBorder="1" applyAlignment="1">
      <alignment horizontal="center" vertical="center"/>
    </xf>
    <xf numFmtId="0" fontId="159" fillId="66" borderId="1" xfId="0" applyFont="1" applyFill="1" applyBorder="1" applyAlignment="1">
      <alignment horizontal="center" vertical="center"/>
    </xf>
    <xf numFmtId="0" fontId="18" fillId="62" borderId="1" xfId="0" applyFont="1" applyFill="1" applyBorder="1" applyAlignment="1">
      <alignment horizontal="left" vertical="center" wrapText="1"/>
    </xf>
    <xf numFmtId="49" fontId="9" fillId="66" borderId="1" xfId="0" quotePrefix="1" applyNumberFormat="1" applyFont="1" applyFill="1" applyBorder="1" applyAlignment="1">
      <alignment horizontal="center" vertical="center" wrapText="1"/>
    </xf>
    <xf numFmtId="0" fontId="161" fillId="66" borderId="1" xfId="0" applyFont="1" applyFill="1" applyBorder="1" applyAlignment="1">
      <alignment vertical="center"/>
    </xf>
    <xf numFmtId="43" fontId="5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right" vertical="center"/>
    </xf>
    <xf numFmtId="43" fontId="5" fillId="0" borderId="0" xfId="0" applyNumberFormat="1" applyFont="1" applyFill="1">
      <alignment vertical="center"/>
    </xf>
    <xf numFmtId="43" fontId="7" fillId="0" borderId="0" xfId="1" applyFont="1" applyFill="1" applyAlignment="1">
      <alignment horizontal="left" vertical="center"/>
    </xf>
    <xf numFmtId="10" fontId="7" fillId="0" borderId="0" xfId="0" applyNumberFormat="1" applyFont="1" applyFill="1" applyAlignment="1">
      <alignment horizontal="left" vertical="center"/>
    </xf>
    <xf numFmtId="0" fontId="9" fillId="0" borderId="37" xfId="3" applyFont="1" applyBorder="1" applyAlignment="1">
      <alignment horizontal="center" vertical="center"/>
    </xf>
    <xf numFmtId="0" fontId="9" fillId="0" borderId="28" xfId="0" applyNumberFormat="1" applyFont="1" applyFill="1" applyBorder="1" applyAlignment="1">
      <alignment horizontal="center" vertical="center"/>
    </xf>
    <xf numFmtId="0" fontId="20" fillId="0" borderId="28" xfId="7" quotePrefix="1" applyNumberFormat="1" applyFill="1" applyBorder="1" applyAlignment="1">
      <alignment horizontal="center" vertical="center"/>
    </xf>
    <xf numFmtId="14" fontId="9" fillId="0" borderId="28" xfId="0" applyNumberFormat="1" applyFont="1" applyFill="1" applyBorder="1" applyAlignment="1">
      <alignment horizontal="center" vertical="center"/>
    </xf>
    <xf numFmtId="49" fontId="9" fillId="0" borderId="28" xfId="0" applyNumberFormat="1" applyFont="1" applyFill="1" applyBorder="1" applyAlignment="1">
      <alignment horizontal="center" vertical="center"/>
    </xf>
    <xf numFmtId="179" fontId="9" fillId="0" borderId="28" xfId="0" applyNumberFormat="1" applyFont="1" applyFill="1" applyBorder="1" applyAlignment="1">
      <alignment horizontal="center" vertical="center"/>
    </xf>
    <xf numFmtId="49" fontId="9" fillId="0" borderId="28" xfId="0" applyNumberFormat="1" applyFont="1" applyFill="1" applyBorder="1" applyAlignment="1">
      <alignment horizontal="center" vertical="center" wrapText="1"/>
    </xf>
    <xf numFmtId="180" fontId="15" fillId="0" borderId="28" xfId="0" applyNumberFormat="1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vertical="center"/>
    </xf>
    <xf numFmtId="0" fontId="22" fillId="0" borderId="35" xfId="3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/>
    </xf>
    <xf numFmtId="0" fontId="171" fillId="0" borderId="37" xfId="7" applyFont="1" applyBorder="1" applyAlignment="1">
      <alignment horizontal="center" vertical="center"/>
    </xf>
    <xf numFmtId="0" fontId="22" fillId="0" borderId="37" xfId="3" applyFont="1" applyBorder="1" applyAlignment="1">
      <alignment vertical="center" wrapText="1"/>
    </xf>
    <xf numFmtId="0" fontId="172" fillId="0" borderId="37" xfId="3" applyFont="1" applyBorder="1" applyAlignment="1">
      <alignment vertical="center" wrapText="1"/>
    </xf>
    <xf numFmtId="0" fontId="22" fillId="0" borderId="37" xfId="3" applyFont="1" applyBorder="1" applyAlignment="1">
      <alignment horizontal="center" vertical="center" wrapText="1"/>
    </xf>
    <xf numFmtId="43" fontId="22" fillId="0" borderId="38" xfId="1" applyFont="1" applyBorder="1" applyAlignment="1">
      <alignment horizontal="left" vertical="center" indent="2"/>
    </xf>
    <xf numFmtId="43" fontId="22" fillId="0" borderId="37" xfId="1" applyFont="1" applyBorder="1" applyAlignment="1">
      <alignment horizontal="left" vertical="center" wrapText="1" indent="2"/>
    </xf>
    <xf numFmtId="14" fontId="22" fillId="0" borderId="34" xfId="3" applyNumberFormat="1" applyFont="1" applyBorder="1" applyAlignment="1">
      <alignment horizontal="center" vertical="center" wrapText="1"/>
    </xf>
    <xf numFmtId="0" fontId="173" fillId="0" borderId="0" xfId="0" applyFont="1">
      <alignment vertical="center"/>
    </xf>
    <xf numFmtId="10" fontId="12" fillId="0" borderId="0" xfId="2" applyNumberFormat="1" applyFont="1">
      <alignment vertical="center"/>
    </xf>
    <xf numFmtId="43" fontId="12" fillId="0" borderId="0" xfId="1" applyFont="1" applyAlignment="1">
      <alignment horizontal="center" vertical="center"/>
    </xf>
    <xf numFmtId="0" fontId="12" fillId="0" borderId="0" xfId="0" quotePrefix="1" applyFont="1">
      <alignment vertical="center"/>
    </xf>
    <xf numFmtId="43" fontId="9" fillId="66" borderId="38" xfId="1" applyFont="1" applyFill="1" applyBorder="1" applyAlignment="1">
      <alignment horizontal="left" vertical="center" wrapText="1" indent="2"/>
    </xf>
    <xf numFmtId="0" fontId="159" fillId="0" borderId="37" xfId="3" applyFont="1" applyBorder="1" applyAlignment="1">
      <alignment vertical="center" wrapText="1"/>
    </xf>
    <xf numFmtId="9" fontId="12" fillId="0" borderId="0" xfId="0" applyNumberFormat="1" applyFont="1" applyAlignment="1">
      <alignment horizontal="center" vertical="center"/>
    </xf>
    <xf numFmtId="14" fontId="8" fillId="0" borderId="0" xfId="0" applyNumberFormat="1" applyFont="1" applyFill="1" applyAlignment="1">
      <alignment vertical="top"/>
    </xf>
    <xf numFmtId="14" fontId="13" fillId="0" borderId="0" xfId="0" applyNumberFormat="1" applyFont="1" applyFill="1" applyAlignment="1">
      <alignment vertical="center" wrapText="1"/>
    </xf>
    <xf numFmtId="0" fontId="175" fillId="0" borderId="0" xfId="0" applyFont="1" applyAlignment="1">
      <alignment horizontal="right" vertical="center"/>
    </xf>
    <xf numFmtId="10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3" fontId="13" fillId="0" borderId="0" xfId="1" applyFont="1" applyAlignment="1">
      <alignment horizontal="left" vertical="center"/>
    </xf>
    <xf numFmtId="0" fontId="176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3" fontId="13" fillId="0" borderId="0" xfId="1" applyFont="1" applyAlignment="1">
      <alignment horizontal="right" vertical="center"/>
    </xf>
    <xf numFmtId="43" fontId="13" fillId="0" borderId="48" xfId="1" applyFont="1" applyBorder="1" applyAlignment="1">
      <alignment horizontal="left" vertical="center"/>
    </xf>
    <xf numFmtId="43" fontId="13" fillId="0" borderId="47" xfId="1" applyFont="1" applyBorder="1" applyAlignment="1">
      <alignment horizontal="left" vertical="center"/>
    </xf>
    <xf numFmtId="43" fontId="12" fillId="0" borderId="6" xfId="1" applyFont="1" applyBorder="1">
      <alignment vertical="center"/>
    </xf>
    <xf numFmtId="43" fontId="12" fillId="0" borderId="48" xfId="1" applyFont="1" applyBorder="1">
      <alignment vertical="center"/>
    </xf>
    <xf numFmtId="9" fontId="12" fillId="0" borderId="48" xfId="2" applyFont="1" applyBorder="1" applyAlignment="1">
      <alignment horizontal="center" vertical="center"/>
    </xf>
    <xf numFmtId="43" fontId="13" fillId="67" borderId="0" xfId="1" applyFont="1" applyFill="1" applyAlignment="1">
      <alignment horizontal="right" vertical="center"/>
    </xf>
    <xf numFmtId="43" fontId="12" fillId="67" borderId="0" xfId="1" applyFont="1" applyFill="1">
      <alignment vertical="center"/>
    </xf>
    <xf numFmtId="0" fontId="20" fillId="62" borderId="37" xfId="7" applyFill="1" applyBorder="1" applyAlignment="1">
      <alignment horizontal="center" vertical="center"/>
    </xf>
    <xf numFmtId="0" fontId="9" fillId="62" borderId="37" xfId="3" applyFont="1" applyFill="1" applyBorder="1" applyAlignment="1">
      <alignment vertical="center" wrapText="1"/>
    </xf>
    <xf numFmtId="0" fontId="159" fillId="62" borderId="37" xfId="3" applyFont="1" applyFill="1" applyBorder="1" applyAlignment="1">
      <alignment vertical="center" wrapText="1"/>
    </xf>
    <xf numFmtId="0" fontId="178" fillId="62" borderId="37" xfId="3" applyFont="1" applyFill="1" applyBorder="1" applyAlignment="1">
      <alignment horizontal="center" vertical="center" wrapText="1"/>
    </xf>
    <xf numFmtId="43" fontId="9" fillId="62" borderId="38" xfId="1" applyFont="1" applyFill="1" applyBorder="1" applyAlignment="1">
      <alignment horizontal="left" vertical="center" indent="2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5" fillId="63" borderId="1" xfId="0" applyFont="1" applyFill="1" applyBorder="1" applyAlignment="1">
      <alignment horizontal="center" vertical="center"/>
    </xf>
    <xf numFmtId="43" fontId="179" fillId="0" borderId="0" xfId="1" applyFont="1">
      <alignment vertical="center"/>
    </xf>
  </cellXfs>
  <cellStyles count="4263">
    <cellStyle name="." xfId="32" xr:uid="{00000000-0005-0000-0000-000000000000}"/>
    <cellStyle name=". 2" xfId="33" xr:uid="{00000000-0005-0000-0000-000001000000}"/>
    <cellStyle name="._R4b IP No  2_271005" xfId="34" xr:uid="{00000000-0005-0000-0000-000002000000}"/>
    <cellStyle name="._R4b IP No  2_271005 2" xfId="35" xr:uid="{00000000-0005-0000-0000-000003000000}"/>
    <cellStyle name="._R4b IP No. (eric)" xfId="36" xr:uid="{00000000-0005-0000-0000-000004000000}"/>
    <cellStyle name="._R4b IP No. (eric) 2" xfId="37" xr:uid="{00000000-0005-0000-0000-000005000000}"/>
    <cellStyle name="._R4b IP No. 1" xfId="38" xr:uid="{00000000-0005-0000-0000-000006000000}"/>
    <cellStyle name="._R4b IP No. 1 2" xfId="39" xr:uid="{00000000-0005-0000-0000-000007000000}"/>
    <cellStyle name="._R4b IP No. 2" xfId="40" xr:uid="{00000000-0005-0000-0000-000008000000}"/>
    <cellStyle name="._R4b IP No. 2 2" xfId="41" xr:uid="{00000000-0005-0000-0000-000009000000}"/>
    <cellStyle name="._R4b IP No. 3" xfId="42" xr:uid="{00000000-0005-0000-0000-00000A000000}"/>
    <cellStyle name="._R4b IP No. 3 2" xfId="43" xr:uid="{00000000-0005-0000-0000-00000B000000}"/>
    <cellStyle name="??" xfId="44" xr:uid="{00000000-0005-0000-0000-00000C000000}"/>
    <cellStyle name="?? [0]_Book1In" xfId="45" xr:uid="{00000000-0005-0000-0000-00000D000000}"/>
    <cellStyle name="?? 2" xfId="46" xr:uid="{00000000-0005-0000-0000-00000E000000}"/>
    <cellStyle name="?? 2 2" xfId="47" xr:uid="{00000000-0005-0000-0000-00000F000000}"/>
    <cellStyle name="?? 2 3" xfId="48" xr:uid="{00000000-0005-0000-0000-000010000000}"/>
    <cellStyle name="??????_CW152 $AV369(Quot)(Assessed)raftne" xfId="49" xr:uid="{00000000-0005-0000-0000-000011000000}"/>
    <cellStyle name="??????NF?s" xfId="50" xr:uid="{00000000-0005-0000-0000-000012000000}"/>
    <cellStyle name="??????NF?s 2" xfId="51" xr:uid="{00000000-0005-0000-0000-000013000000}"/>
    <cellStyle name="??????NF?s 2 2" xfId="52" xr:uid="{00000000-0005-0000-0000-000014000000}"/>
    <cellStyle name="??????NF?s 2 3" xfId="53" xr:uid="{00000000-0005-0000-0000-000015000000}"/>
    <cellStyle name="??????TL432 " xfId="54" xr:uid="{00000000-0005-0000-0000-000016000000}"/>
    <cellStyle name="??????TL432  2" xfId="55" xr:uid="{00000000-0005-0000-0000-000017000000}"/>
    <cellStyle name="???[0]_Book1epo" xfId="56" xr:uid="{00000000-0005-0000-0000-000018000000}"/>
    <cellStyle name="???_Book1TL4" xfId="57" xr:uid="{00000000-0005-0000-0000-000019000000}"/>
    <cellStyle name="???mal" xfId="58" xr:uid="{00000000-0005-0000-0000-00001A000000}"/>
    <cellStyle name="???mal 2" xfId="59" xr:uid="{00000000-0005-0000-0000-00001B000000}"/>
    <cellStyle name="???REI" xfId="60" xr:uid="{00000000-0005-0000-0000-00001C000000}"/>
    <cellStyle name="???REI 2" xfId="61" xr:uid="{00000000-0005-0000-0000-00001D000000}"/>
    <cellStyle name="???REI 2 2" xfId="62" xr:uid="{00000000-0005-0000-0000-00001E000000}"/>
    <cellStyle name="???REI 2 3" xfId="63" xr:uid="{00000000-0005-0000-0000-00001F000000}"/>
    <cellStyle name="???TMT" xfId="64" xr:uid="{00000000-0005-0000-0000-000020000000}"/>
    <cellStyle name="???TMT 2" xfId="65" xr:uid="{00000000-0005-0000-0000-000021000000}"/>
    <cellStyle name="??_$Stdy S&amp;M(Panel)ay" xfId="66" xr:uid="{00000000-0005-0000-0000-000022000000}"/>
    <cellStyle name="¤@¯ë_$Stdy S&amp;M(Panel)" xfId="67" xr:uid="{00000000-0005-0000-0000-000023000000}"/>
    <cellStyle name="¤d¤À¦ì[0]_Book1" xfId="68" xr:uid="{00000000-0005-0000-0000-000024000000}"/>
    <cellStyle name="¤d¤À¦ì_Book1" xfId="69" xr:uid="{00000000-0005-0000-0000-000025000000}"/>
    <cellStyle name="¶W³sµ²" xfId="70" xr:uid="{00000000-0005-0000-0000-000026000000}"/>
    <cellStyle name="¶W³sµ² 2" xfId="71" xr:uid="{00000000-0005-0000-0000-000027000000}"/>
    <cellStyle name="20% - Accent1" xfId="72" xr:uid="{00000000-0005-0000-0000-000028000000}"/>
    <cellStyle name="20% - Accent1 2" xfId="73" xr:uid="{00000000-0005-0000-0000-000029000000}"/>
    <cellStyle name="20% - Accent1 3" xfId="74" xr:uid="{00000000-0005-0000-0000-00002A000000}"/>
    <cellStyle name="20% - Accent1 4" xfId="75" xr:uid="{00000000-0005-0000-0000-00002B000000}"/>
    <cellStyle name="20% - Accent1 4 2" xfId="76" xr:uid="{00000000-0005-0000-0000-00002C000000}"/>
    <cellStyle name="20% - Accent2" xfId="77" xr:uid="{00000000-0005-0000-0000-00002D000000}"/>
    <cellStyle name="20% - Accent2 2" xfId="78" xr:uid="{00000000-0005-0000-0000-00002E000000}"/>
    <cellStyle name="20% - Accent2 3" xfId="79" xr:uid="{00000000-0005-0000-0000-00002F000000}"/>
    <cellStyle name="20% - Accent2 4" xfId="80" xr:uid="{00000000-0005-0000-0000-000030000000}"/>
    <cellStyle name="20% - Accent2 4 2" xfId="81" xr:uid="{00000000-0005-0000-0000-000031000000}"/>
    <cellStyle name="20% - Accent3" xfId="82" xr:uid="{00000000-0005-0000-0000-000032000000}"/>
    <cellStyle name="20% - Accent3 2" xfId="83" xr:uid="{00000000-0005-0000-0000-000033000000}"/>
    <cellStyle name="20% - Accent3 3" xfId="84" xr:uid="{00000000-0005-0000-0000-000034000000}"/>
    <cellStyle name="20% - Accent3 4" xfId="85" xr:uid="{00000000-0005-0000-0000-000035000000}"/>
    <cellStyle name="20% - Accent3 4 2" xfId="86" xr:uid="{00000000-0005-0000-0000-000036000000}"/>
    <cellStyle name="20% - Accent4" xfId="87" xr:uid="{00000000-0005-0000-0000-000037000000}"/>
    <cellStyle name="20% - Accent4 2" xfId="88" xr:uid="{00000000-0005-0000-0000-000038000000}"/>
    <cellStyle name="20% - Accent4 3" xfId="89" xr:uid="{00000000-0005-0000-0000-000039000000}"/>
    <cellStyle name="20% - Accent4 4" xfId="90" xr:uid="{00000000-0005-0000-0000-00003A000000}"/>
    <cellStyle name="20% - Accent4 4 2" xfId="91" xr:uid="{00000000-0005-0000-0000-00003B000000}"/>
    <cellStyle name="20% - Accent5" xfId="92" xr:uid="{00000000-0005-0000-0000-00003C000000}"/>
    <cellStyle name="20% - Accent5 2" xfId="93" xr:uid="{00000000-0005-0000-0000-00003D000000}"/>
    <cellStyle name="20% - Accent5 3" xfId="94" xr:uid="{00000000-0005-0000-0000-00003E000000}"/>
    <cellStyle name="20% - Accent5 4" xfId="95" xr:uid="{00000000-0005-0000-0000-00003F000000}"/>
    <cellStyle name="20% - Accent5 4 2" xfId="96" xr:uid="{00000000-0005-0000-0000-000040000000}"/>
    <cellStyle name="20% - Accent6" xfId="97" xr:uid="{00000000-0005-0000-0000-000041000000}"/>
    <cellStyle name="20% - Accent6 2" xfId="98" xr:uid="{00000000-0005-0000-0000-000042000000}"/>
    <cellStyle name="20% - Accent6 3" xfId="99" xr:uid="{00000000-0005-0000-0000-000043000000}"/>
    <cellStyle name="20% - Accent6 4" xfId="100" xr:uid="{00000000-0005-0000-0000-000044000000}"/>
    <cellStyle name="20% - Accent6 4 2" xfId="101" xr:uid="{00000000-0005-0000-0000-000045000000}"/>
    <cellStyle name="20% - 强调文字颜色 1" xfId="102" xr:uid="{00000000-0005-0000-0000-000046000000}"/>
    <cellStyle name="20% - 强调文字颜色 1 2" xfId="103" xr:uid="{00000000-0005-0000-0000-000047000000}"/>
    <cellStyle name="20% - 强调文字颜色 1 3" xfId="104" xr:uid="{00000000-0005-0000-0000-000048000000}"/>
    <cellStyle name="20% - 强调文字颜色 2" xfId="105" xr:uid="{00000000-0005-0000-0000-000049000000}"/>
    <cellStyle name="20% - 强调文字颜色 2 2" xfId="106" xr:uid="{00000000-0005-0000-0000-00004A000000}"/>
    <cellStyle name="20% - 强调文字颜色 2 3" xfId="107" xr:uid="{00000000-0005-0000-0000-00004B000000}"/>
    <cellStyle name="20% - 强调文字颜色 3" xfId="108" xr:uid="{00000000-0005-0000-0000-00004C000000}"/>
    <cellStyle name="20% - 强调文字颜色 3 2" xfId="109" xr:uid="{00000000-0005-0000-0000-00004D000000}"/>
    <cellStyle name="20% - 强调文字颜色 3 3" xfId="110" xr:uid="{00000000-0005-0000-0000-00004E000000}"/>
    <cellStyle name="20% - 强调文字颜色 4" xfId="111" xr:uid="{00000000-0005-0000-0000-00004F000000}"/>
    <cellStyle name="20% - 强调文字颜色 4 2" xfId="112" xr:uid="{00000000-0005-0000-0000-000050000000}"/>
    <cellStyle name="20% - 强调文字颜色 4 3" xfId="113" xr:uid="{00000000-0005-0000-0000-000051000000}"/>
    <cellStyle name="20% - 强调文字颜色 5" xfId="114" xr:uid="{00000000-0005-0000-0000-000052000000}"/>
    <cellStyle name="20% - 强调文字颜色 5 2" xfId="115" xr:uid="{00000000-0005-0000-0000-000053000000}"/>
    <cellStyle name="20% - 强调文字颜色 5 3" xfId="116" xr:uid="{00000000-0005-0000-0000-000054000000}"/>
    <cellStyle name="20% - 强调文字颜色 6" xfId="117" xr:uid="{00000000-0005-0000-0000-000055000000}"/>
    <cellStyle name="20% - 强调文字颜色 6 2" xfId="118" xr:uid="{00000000-0005-0000-0000-000056000000}"/>
    <cellStyle name="20% - 强调文字颜色 6 3" xfId="119" xr:uid="{00000000-0005-0000-0000-000057000000}"/>
    <cellStyle name="20% - 輔色1 2" xfId="120" xr:uid="{00000000-0005-0000-0000-000058000000}"/>
    <cellStyle name="20% - 輔色1 2 2" xfId="121" xr:uid="{00000000-0005-0000-0000-000059000000}"/>
    <cellStyle name="20% - 輔色1 3" xfId="122" xr:uid="{00000000-0005-0000-0000-00005A000000}"/>
    <cellStyle name="20% - 輔色1 3 2" xfId="123" xr:uid="{00000000-0005-0000-0000-00005B000000}"/>
    <cellStyle name="20% - 輔色2 2" xfId="124" xr:uid="{00000000-0005-0000-0000-00005C000000}"/>
    <cellStyle name="20% - 輔色2 2 2" xfId="125" xr:uid="{00000000-0005-0000-0000-00005D000000}"/>
    <cellStyle name="20% - 輔色2 3" xfId="126" xr:uid="{00000000-0005-0000-0000-00005E000000}"/>
    <cellStyle name="20% - 輔色2 3 2" xfId="127" xr:uid="{00000000-0005-0000-0000-00005F000000}"/>
    <cellStyle name="20% - 輔色3 2" xfId="128" xr:uid="{00000000-0005-0000-0000-000060000000}"/>
    <cellStyle name="20% - 輔色3 2 2" xfId="129" xr:uid="{00000000-0005-0000-0000-000061000000}"/>
    <cellStyle name="20% - 輔色3 3" xfId="130" xr:uid="{00000000-0005-0000-0000-000062000000}"/>
    <cellStyle name="20% - 輔色3 3 2" xfId="131" xr:uid="{00000000-0005-0000-0000-000063000000}"/>
    <cellStyle name="20% - 輔色4 2" xfId="132" xr:uid="{00000000-0005-0000-0000-000064000000}"/>
    <cellStyle name="20% - 輔色4 2 2" xfId="133" xr:uid="{00000000-0005-0000-0000-000065000000}"/>
    <cellStyle name="20% - 輔色4 3" xfId="134" xr:uid="{00000000-0005-0000-0000-000066000000}"/>
    <cellStyle name="20% - 輔色4 3 2" xfId="135" xr:uid="{00000000-0005-0000-0000-000067000000}"/>
    <cellStyle name="20% - 輔色5 2" xfId="136" xr:uid="{00000000-0005-0000-0000-000068000000}"/>
    <cellStyle name="20% - 輔色5 2 2" xfId="137" xr:uid="{00000000-0005-0000-0000-000069000000}"/>
    <cellStyle name="20% - 輔色5 3" xfId="138" xr:uid="{00000000-0005-0000-0000-00006A000000}"/>
    <cellStyle name="20% - 輔色5 3 2" xfId="139" xr:uid="{00000000-0005-0000-0000-00006B000000}"/>
    <cellStyle name="20% - 輔色6 2" xfId="140" xr:uid="{00000000-0005-0000-0000-00006C000000}"/>
    <cellStyle name="20% - 輔色6 2 2" xfId="141" xr:uid="{00000000-0005-0000-0000-00006D000000}"/>
    <cellStyle name="20% - 輔色6 3" xfId="142" xr:uid="{00000000-0005-0000-0000-00006E000000}"/>
    <cellStyle name="20% - 輔色6 3 2" xfId="143" xr:uid="{00000000-0005-0000-0000-00006F000000}"/>
    <cellStyle name="³¬¼¶Á´½Ó" xfId="144" xr:uid="{00000000-0005-0000-0000-000070000000}"/>
    <cellStyle name="³¬¼¶Á´½Ó 2" xfId="145" xr:uid="{00000000-0005-0000-0000-000071000000}"/>
    <cellStyle name="³f¹ô [0]_B3" xfId="146" xr:uid="{00000000-0005-0000-0000-000072000000}"/>
    <cellStyle name="³f¹ô_B3" xfId="147" xr:uid="{00000000-0005-0000-0000-000073000000}"/>
    <cellStyle name="40% - Accent1" xfId="148" xr:uid="{00000000-0005-0000-0000-000074000000}"/>
    <cellStyle name="40% - Accent1 2" xfId="149" xr:uid="{00000000-0005-0000-0000-000075000000}"/>
    <cellStyle name="40% - Accent1 3" xfId="150" xr:uid="{00000000-0005-0000-0000-000076000000}"/>
    <cellStyle name="40% - Accent1 4" xfId="151" xr:uid="{00000000-0005-0000-0000-000077000000}"/>
    <cellStyle name="40% - Accent1 4 2" xfId="152" xr:uid="{00000000-0005-0000-0000-000078000000}"/>
    <cellStyle name="40% - Accent2" xfId="153" xr:uid="{00000000-0005-0000-0000-000079000000}"/>
    <cellStyle name="40% - Accent2 2" xfId="154" xr:uid="{00000000-0005-0000-0000-00007A000000}"/>
    <cellStyle name="40% - Accent2 3" xfId="155" xr:uid="{00000000-0005-0000-0000-00007B000000}"/>
    <cellStyle name="40% - Accent2 4" xfId="156" xr:uid="{00000000-0005-0000-0000-00007C000000}"/>
    <cellStyle name="40% - Accent2 4 2" xfId="157" xr:uid="{00000000-0005-0000-0000-00007D000000}"/>
    <cellStyle name="40% - Accent3" xfId="158" xr:uid="{00000000-0005-0000-0000-00007E000000}"/>
    <cellStyle name="40% - Accent3 2" xfId="159" xr:uid="{00000000-0005-0000-0000-00007F000000}"/>
    <cellStyle name="40% - Accent3 3" xfId="160" xr:uid="{00000000-0005-0000-0000-000080000000}"/>
    <cellStyle name="40% - Accent3 4" xfId="161" xr:uid="{00000000-0005-0000-0000-000081000000}"/>
    <cellStyle name="40% - Accent3 4 2" xfId="162" xr:uid="{00000000-0005-0000-0000-000082000000}"/>
    <cellStyle name="40% - Accent4" xfId="163" xr:uid="{00000000-0005-0000-0000-000083000000}"/>
    <cellStyle name="40% - Accent4 2" xfId="164" xr:uid="{00000000-0005-0000-0000-000084000000}"/>
    <cellStyle name="40% - Accent4 3" xfId="165" xr:uid="{00000000-0005-0000-0000-000085000000}"/>
    <cellStyle name="40% - Accent4 4" xfId="166" xr:uid="{00000000-0005-0000-0000-000086000000}"/>
    <cellStyle name="40% - Accent4 4 2" xfId="167" xr:uid="{00000000-0005-0000-0000-000087000000}"/>
    <cellStyle name="40% - Accent5" xfId="168" xr:uid="{00000000-0005-0000-0000-000088000000}"/>
    <cellStyle name="40% - Accent5 2" xfId="169" xr:uid="{00000000-0005-0000-0000-000089000000}"/>
    <cellStyle name="40% - Accent5 3" xfId="170" xr:uid="{00000000-0005-0000-0000-00008A000000}"/>
    <cellStyle name="40% - Accent5 4" xfId="171" xr:uid="{00000000-0005-0000-0000-00008B000000}"/>
    <cellStyle name="40% - Accent5 4 2" xfId="172" xr:uid="{00000000-0005-0000-0000-00008C000000}"/>
    <cellStyle name="40% - Accent6" xfId="173" xr:uid="{00000000-0005-0000-0000-00008D000000}"/>
    <cellStyle name="40% - Accent6 2" xfId="174" xr:uid="{00000000-0005-0000-0000-00008E000000}"/>
    <cellStyle name="40% - Accent6 3" xfId="175" xr:uid="{00000000-0005-0000-0000-00008F000000}"/>
    <cellStyle name="40% - Accent6 4" xfId="176" xr:uid="{00000000-0005-0000-0000-000090000000}"/>
    <cellStyle name="40% - Accent6 4 2" xfId="177" xr:uid="{00000000-0005-0000-0000-000091000000}"/>
    <cellStyle name="40% - 强调文字颜色 1" xfId="178" xr:uid="{00000000-0005-0000-0000-000092000000}"/>
    <cellStyle name="40% - 强调文字颜色 1 2" xfId="179" xr:uid="{00000000-0005-0000-0000-000093000000}"/>
    <cellStyle name="40% - 强调文字颜色 1 3" xfId="180" xr:uid="{00000000-0005-0000-0000-000094000000}"/>
    <cellStyle name="40% - 强调文字颜色 2" xfId="181" xr:uid="{00000000-0005-0000-0000-000095000000}"/>
    <cellStyle name="40% - 强调文字颜色 2 2" xfId="182" xr:uid="{00000000-0005-0000-0000-000096000000}"/>
    <cellStyle name="40% - 强调文字颜色 2 3" xfId="183" xr:uid="{00000000-0005-0000-0000-000097000000}"/>
    <cellStyle name="40% - 强调文字颜色 3" xfId="184" xr:uid="{00000000-0005-0000-0000-000098000000}"/>
    <cellStyle name="40% - 强调文字颜色 3 2" xfId="185" xr:uid="{00000000-0005-0000-0000-000099000000}"/>
    <cellStyle name="40% - 强调文字颜色 3 3" xfId="186" xr:uid="{00000000-0005-0000-0000-00009A000000}"/>
    <cellStyle name="40% - 强调文字颜色 4" xfId="187" xr:uid="{00000000-0005-0000-0000-00009B000000}"/>
    <cellStyle name="40% - 强调文字颜色 4 2" xfId="188" xr:uid="{00000000-0005-0000-0000-00009C000000}"/>
    <cellStyle name="40% - 强调文字颜色 4 3" xfId="189" xr:uid="{00000000-0005-0000-0000-00009D000000}"/>
    <cellStyle name="40% - 强调文字颜色 5" xfId="190" xr:uid="{00000000-0005-0000-0000-00009E000000}"/>
    <cellStyle name="40% - 强调文字颜色 5 2" xfId="191" xr:uid="{00000000-0005-0000-0000-00009F000000}"/>
    <cellStyle name="40% - 强调文字颜色 5 3" xfId="192" xr:uid="{00000000-0005-0000-0000-0000A0000000}"/>
    <cellStyle name="40% - 强调文字颜色 6" xfId="193" xr:uid="{00000000-0005-0000-0000-0000A1000000}"/>
    <cellStyle name="40% - 强调文字颜色 6 2" xfId="194" xr:uid="{00000000-0005-0000-0000-0000A2000000}"/>
    <cellStyle name="40% - 强调文字颜色 6 3" xfId="195" xr:uid="{00000000-0005-0000-0000-0000A3000000}"/>
    <cellStyle name="40% - 輔色1 2" xfId="196" xr:uid="{00000000-0005-0000-0000-0000A4000000}"/>
    <cellStyle name="40% - 輔色1 2 2" xfId="197" xr:uid="{00000000-0005-0000-0000-0000A5000000}"/>
    <cellStyle name="40% - 輔色1 3" xfId="198" xr:uid="{00000000-0005-0000-0000-0000A6000000}"/>
    <cellStyle name="40% - 輔色1 3 2" xfId="199" xr:uid="{00000000-0005-0000-0000-0000A7000000}"/>
    <cellStyle name="40% - 輔色2 2" xfId="200" xr:uid="{00000000-0005-0000-0000-0000A8000000}"/>
    <cellStyle name="40% - 輔色2 2 2" xfId="201" xr:uid="{00000000-0005-0000-0000-0000A9000000}"/>
    <cellStyle name="40% - 輔色2 3" xfId="202" xr:uid="{00000000-0005-0000-0000-0000AA000000}"/>
    <cellStyle name="40% - 輔色2 3 2" xfId="203" xr:uid="{00000000-0005-0000-0000-0000AB000000}"/>
    <cellStyle name="40% - 輔色3 2" xfId="204" xr:uid="{00000000-0005-0000-0000-0000AC000000}"/>
    <cellStyle name="40% - 輔色3 2 2" xfId="205" xr:uid="{00000000-0005-0000-0000-0000AD000000}"/>
    <cellStyle name="40% - 輔色3 3" xfId="206" xr:uid="{00000000-0005-0000-0000-0000AE000000}"/>
    <cellStyle name="40% - 輔色3 3 2" xfId="207" xr:uid="{00000000-0005-0000-0000-0000AF000000}"/>
    <cellStyle name="40% - 輔色4 2" xfId="208" xr:uid="{00000000-0005-0000-0000-0000B0000000}"/>
    <cellStyle name="40% - 輔色4 2 2" xfId="209" xr:uid="{00000000-0005-0000-0000-0000B1000000}"/>
    <cellStyle name="40% - 輔色4 3" xfId="210" xr:uid="{00000000-0005-0000-0000-0000B2000000}"/>
    <cellStyle name="40% - 輔色4 3 2" xfId="211" xr:uid="{00000000-0005-0000-0000-0000B3000000}"/>
    <cellStyle name="40% - 輔色5 2" xfId="212" xr:uid="{00000000-0005-0000-0000-0000B4000000}"/>
    <cellStyle name="40% - 輔色5 2 2" xfId="213" xr:uid="{00000000-0005-0000-0000-0000B5000000}"/>
    <cellStyle name="40% - 輔色5 3" xfId="214" xr:uid="{00000000-0005-0000-0000-0000B6000000}"/>
    <cellStyle name="40% - 輔色5 3 2" xfId="215" xr:uid="{00000000-0005-0000-0000-0000B7000000}"/>
    <cellStyle name="40% - 輔色6 2" xfId="216" xr:uid="{00000000-0005-0000-0000-0000B8000000}"/>
    <cellStyle name="40% - 輔色6 2 2" xfId="217" xr:uid="{00000000-0005-0000-0000-0000B9000000}"/>
    <cellStyle name="40% - 輔色6 3" xfId="218" xr:uid="{00000000-0005-0000-0000-0000BA000000}"/>
    <cellStyle name="40% - 輔色6 3 2" xfId="219" xr:uid="{00000000-0005-0000-0000-0000BB000000}"/>
    <cellStyle name="60% - Accent1" xfId="220" xr:uid="{00000000-0005-0000-0000-0000BC000000}"/>
    <cellStyle name="60% - Accent1 2" xfId="221" xr:uid="{00000000-0005-0000-0000-0000BD000000}"/>
    <cellStyle name="60% - Accent1 3" xfId="222" xr:uid="{00000000-0005-0000-0000-0000BE000000}"/>
    <cellStyle name="60% - Accent1 4" xfId="223" xr:uid="{00000000-0005-0000-0000-0000BF000000}"/>
    <cellStyle name="60% - Accent2" xfId="224" xr:uid="{00000000-0005-0000-0000-0000C0000000}"/>
    <cellStyle name="60% - Accent2 2" xfId="225" xr:uid="{00000000-0005-0000-0000-0000C1000000}"/>
    <cellStyle name="60% - Accent2 3" xfId="226" xr:uid="{00000000-0005-0000-0000-0000C2000000}"/>
    <cellStyle name="60% - Accent2 4" xfId="227" xr:uid="{00000000-0005-0000-0000-0000C3000000}"/>
    <cellStyle name="60% - Accent3" xfId="228" xr:uid="{00000000-0005-0000-0000-0000C4000000}"/>
    <cellStyle name="60% - Accent3 2" xfId="229" xr:uid="{00000000-0005-0000-0000-0000C5000000}"/>
    <cellStyle name="60% - Accent3 3" xfId="230" xr:uid="{00000000-0005-0000-0000-0000C6000000}"/>
    <cellStyle name="60% - Accent3 4" xfId="231" xr:uid="{00000000-0005-0000-0000-0000C7000000}"/>
    <cellStyle name="60% - Accent4" xfId="232" xr:uid="{00000000-0005-0000-0000-0000C8000000}"/>
    <cellStyle name="60% - Accent4 2" xfId="233" xr:uid="{00000000-0005-0000-0000-0000C9000000}"/>
    <cellStyle name="60% - Accent4 3" xfId="234" xr:uid="{00000000-0005-0000-0000-0000CA000000}"/>
    <cellStyle name="60% - Accent4 4" xfId="235" xr:uid="{00000000-0005-0000-0000-0000CB000000}"/>
    <cellStyle name="60% - Accent5" xfId="236" xr:uid="{00000000-0005-0000-0000-0000CC000000}"/>
    <cellStyle name="60% - Accent5 2" xfId="237" xr:uid="{00000000-0005-0000-0000-0000CD000000}"/>
    <cellStyle name="60% - Accent5 3" xfId="238" xr:uid="{00000000-0005-0000-0000-0000CE000000}"/>
    <cellStyle name="60% - Accent5 4" xfId="239" xr:uid="{00000000-0005-0000-0000-0000CF000000}"/>
    <cellStyle name="60% - Accent6" xfId="240" xr:uid="{00000000-0005-0000-0000-0000D0000000}"/>
    <cellStyle name="60% - Accent6 2" xfId="241" xr:uid="{00000000-0005-0000-0000-0000D1000000}"/>
    <cellStyle name="60% - Accent6 3" xfId="242" xr:uid="{00000000-0005-0000-0000-0000D2000000}"/>
    <cellStyle name="60% - Accent6 4" xfId="243" xr:uid="{00000000-0005-0000-0000-0000D3000000}"/>
    <cellStyle name="60% - 强调文字颜色 1" xfId="244" xr:uid="{00000000-0005-0000-0000-0000D4000000}"/>
    <cellStyle name="60% - 强调文字颜色 1 2" xfId="245" xr:uid="{00000000-0005-0000-0000-0000D5000000}"/>
    <cellStyle name="60% - 强调文字颜色 1 3" xfId="246" xr:uid="{00000000-0005-0000-0000-0000D6000000}"/>
    <cellStyle name="60% - 强调文字颜色 2" xfId="247" xr:uid="{00000000-0005-0000-0000-0000D7000000}"/>
    <cellStyle name="60% - 强调文字颜色 2 2" xfId="248" xr:uid="{00000000-0005-0000-0000-0000D8000000}"/>
    <cellStyle name="60% - 强调文字颜色 2 3" xfId="249" xr:uid="{00000000-0005-0000-0000-0000D9000000}"/>
    <cellStyle name="60% - 强调文字颜色 3" xfId="250" xr:uid="{00000000-0005-0000-0000-0000DA000000}"/>
    <cellStyle name="60% - 强调文字颜色 3 2" xfId="251" xr:uid="{00000000-0005-0000-0000-0000DB000000}"/>
    <cellStyle name="60% - 强调文字颜色 3 3" xfId="252" xr:uid="{00000000-0005-0000-0000-0000DC000000}"/>
    <cellStyle name="60% - 强调文字颜色 4" xfId="253" xr:uid="{00000000-0005-0000-0000-0000DD000000}"/>
    <cellStyle name="60% - 强调文字颜色 4 2" xfId="254" xr:uid="{00000000-0005-0000-0000-0000DE000000}"/>
    <cellStyle name="60% - 强调文字颜色 4 3" xfId="255" xr:uid="{00000000-0005-0000-0000-0000DF000000}"/>
    <cellStyle name="60% - 强调文字颜色 5" xfId="256" xr:uid="{00000000-0005-0000-0000-0000E0000000}"/>
    <cellStyle name="60% - 强调文字颜色 5 2" xfId="257" xr:uid="{00000000-0005-0000-0000-0000E1000000}"/>
    <cellStyle name="60% - 强调文字颜色 5 3" xfId="258" xr:uid="{00000000-0005-0000-0000-0000E2000000}"/>
    <cellStyle name="60% - 强调文字颜色 6" xfId="259" xr:uid="{00000000-0005-0000-0000-0000E3000000}"/>
    <cellStyle name="60% - 强调文字颜色 6 2" xfId="260" xr:uid="{00000000-0005-0000-0000-0000E4000000}"/>
    <cellStyle name="60% - 强调文字颜色 6 3" xfId="261" xr:uid="{00000000-0005-0000-0000-0000E5000000}"/>
    <cellStyle name="60% - 輔色1 2" xfId="262" xr:uid="{00000000-0005-0000-0000-0000E6000000}"/>
    <cellStyle name="60% - 輔色1 3" xfId="263" xr:uid="{00000000-0005-0000-0000-0000E7000000}"/>
    <cellStyle name="60% - 輔色2 2" xfId="264" xr:uid="{00000000-0005-0000-0000-0000E8000000}"/>
    <cellStyle name="60% - 輔色2 3" xfId="265" xr:uid="{00000000-0005-0000-0000-0000E9000000}"/>
    <cellStyle name="60% - 輔色3 2" xfId="266" xr:uid="{00000000-0005-0000-0000-0000EA000000}"/>
    <cellStyle name="60% - 輔色3 3" xfId="267" xr:uid="{00000000-0005-0000-0000-0000EB000000}"/>
    <cellStyle name="60% - 輔色4 2" xfId="268" xr:uid="{00000000-0005-0000-0000-0000EC000000}"/>
    <cellStyle name="60% - 輔色4 3" xfId="269" xr:uid="{00000000-0005-0000-0000-0000ED000000}"/>
    <cellStyle name="60% - 輔色5 2" xfId="270" xr:uid="{00000000-0005-0000-0000-0000EE000000}"/>
    <cellStyle name="60% - 輔色5 3" xfId="271" xr:uid="{00000000-0005-0000-0000-0000EF000000}"/>
    <cellStyle name="60% - 輔色6 2" xfId="272" xr:uid="{00000000-0005-0000-0000-0000F0000000}"/>
    <cellStyle name="60% - 輔色6 3" xfId="273" xr:uid="{00000000-0005-0000-0000-0000F1000000}"/>
    <cellStyle name="Accent1" xfId="274" xr:uid="{00000000-0005-0000-0000-0000F2000000}"/>
    <cellStyle name="Accent1 2" xfId="275" xr:uid="{00000000-0005-0000-0000-0000F3000000}"/>
    <cellStyle name="Accent1 3" xfId="276" xr:uid="{00000000-0005-0000-0000-0000F4000000}"/>
    <cellStyle name="Accent1 4" xfId="277" xr:uid="{00000000-0005-0000-0000-0000F5000000}"/>
    <cellStyle name="Accent2" xfId="278" xr:uid="{00000000-0005-0000-0000-0000F6000000}"/>
    <cellStyle name="Accent2 2" xfId="279" xr:uid="{00000000-0005-0000-0000-0000F7000000}"/>
    <cellStyle name="Accent2 3" xfId="280" xr:uid="{00000000-0005-0000-0000-0000F8000000}"/>
    <cellStyle name="Accent2 4" xfId="281" xr:uid="{00000000-0005-0000-0000-0000F9000000}"/>
    <cellStyle name="Accent3" xfId="282" xr:uid="{00000000-0005-0000-0000-0000FA000000}"/>
    <cellStyle name="Accent3 2" xfId="283" xr:uid="{00000000-0005-0000-0000-0000FB000000}"/>
    <cellStyle name="Accent3 3" xfId="284" xr:uid="{00000000-0005-0000-0000-0000FC000000}"/>
    <cellStyle name="Accent3 4" xfId="285" xr:uid="{00000000-0005-0000-0000-0000FD000000}"/>
    <cellStyle name="Accent4" xfId="286" xr:uid="{00000000-0005-0000-0000-0000FE000000}"/>
    <cellStyle name="Accent4 2" xfId="287" xr:uid="{00000000-0005-0000-0000-0000FF000000}"/>
    <cellStyle name="Accent4 3" xfId="288" xr:uid="{00000000-0005-0000-0000-000000010000}"/>
    <cellStyle name="Accent4 4" xfId="289" xr:uid="{00000000-0005-0000-0000-000001010000}"/>
    <cellStyle name="Accent5" xfId="290" xr:uid="{00000000-0005-0000-0000-000002010000}"/>
    <cellStyle name="Accent5 2" xfId="291" xr:uid="{00000000-0005-0000-0000-000003010000}"/>
    <cellStyle name="Accent5 3" xfId="292" xr:uid="{00000000-0005-0000-0000-000004010000}"/>
    <cellStyle name="Accent5 4" xfId="293" xr:uid="{00000000-0005-0000-0000-000005010000}"/>
    <cellStyle name="Accent6" xfId="294" xr:uid="{00000000-0005-0000-0000-000006010000}"/>
    <cellStyle name="Accent6 2" xfId="295" xr:uid="{00000000-0005-0000-0000-000007010000}"/>
    <cellStyle name="Accent6 3" xfId="296" xr:uid="{00000000-0005-0000-0000-000008010000}"/>
    <cellStyle name="Accent6 4" xfId="297" xr:uid="{00000000-0005-0000-0000-000009010000}"/>
    <cellStyle name="ÀH«áªº¶W³sµ²" xfId="298" xr:uid="{00000000-0005-0000-0000-00000A010000}"/>
    <cellStyle name="ÀH«áªº¶W³sµ² 2" xfId="299" xr:uid="{00000000-0005-0000-0000-00000B010000}"/>
    <cellStyle name="Bad" xfId="300" xr:uid="{00000000-0005-0000-0000-00000C010000}"/>
    <cellStyle name="Bad 2" xfId="301" xr:uid="{00000000-0005-0000-0000-00000D010000}"/>
    <cellStyle name="Bad 3" xfId="302" xr:uid="{00000000-0005-0000-0000-00000E010000}"/>
    <cellStyle name="Bad 4" xfId="303" xr:uid="{00000000-0005-0000-0000-00000F010000}"/>
    <cellStyle name="Calculation" xfId="304" xr:uid="{00000000-0005-0000-0000-000010010000}"/>
    <cellStyle name="Calculation 2" xfId="305" xr:uid="{00000000-0005-0000-0000-000011010000}"/>
    <cellStyle name="Calculation 2 2" xfId="306" xr:uid="{00000000-0005-0000-0000-000012010000}"/>
    <cellStyle name="Calculation 2 2 10" xfId="307" xr:uid="{00000000-0005-0000-0000-000013010000}"/>
    <cellStyle name="Calculation 2 2 10 2" xfId="2681" xr:uid="{00000000-0005-0000-0000-000014010000}"/>
    <cellStyle name="Calculation 2 2 11" xfId="308" xr:uid="{00000000-0005-0000-0000-000015010000}"/>
    <cellStyle name="Calculation 2 2 11 2" xfId="2682" xr:uid="{00000000-0005-0000-0000-000016010000}"/>
    <cellStyle name="Calculation 2 2 12" xfId="309" xr:uid="{00000000-0005-0000-0000-000017010000}"/>
    <cellStyle name="Calculation 2 2 12 2" xfId="2683" xr:uid="{00000000-0005-0000-0000-000018010000}"/>
    <cellStyle name="Calculation 2 2 13" xfId="310" xr:uid="{00000000-0005-0000-0000-000019010000}"/>
    <cellStyle name="Calculation 2 2 13 2" xfId="2684" xr:uid="{00000000-0005-0000-0000-00001A010000}"/>
    <cellStyle name="Calculation 2 2 14" xfId="2680" xr:uid="{00000000-0005-0000-0000-00001B010000}"/>
    <cellStyle name="Calculation 2 2 2" xfId="311" xr:uid="{00000000-0005-0000-0000-00001C010000}"/>
    <cellStyle name="Calculation 2 2 2 2" xfId="2685" xr:uid="{00000000-0005-0000-0000-00001D010000}"/>
    <cellStyle name="Calculation 2 2 3" xfId="312" xr:uid="{00000000-0005-0000-0000-00001E010000}"/>
    <cellStyle name="Calculation 2 2 3 2" xfId="2686" xr:uid="{00000000-0005-0000-0000-00001F010000}"/>
    <cellStyle name="Calculation 2 2 4" xfId="313" xr:uid="{00000000-0005-0000-0000-000020010000}"/>
    <cellStyle name="Calculation 2 2 4 2" xfId="2687" xr:uid="{00000000-0005-0000-0000-000021010000}"/>
    <cellStyle name="Calculation 2 2 5" xfId="314" xr:uid="{00000000-0005-0000-0000-000022010000}"/>
    <cellStyle name="Calculation 2 2 5 2" xfId="2688" xr:uid="{00000000-0005-0000-0000-000023010000}"/>
    <cellStyle name="Calculation 2 2 6" xfId="315" xr:uid="{00000000-0005-0000-0000-000024010000}"/>
    <cellStyle name="Calculation 2 2 6 2" xfId="2689" xr:uid="{00000000-0005-0000-0000-000025010000}"/>
    <cellStyle name="Calculation 2 2 7" xfId="316" xr:uid="{00000000-0005-0000-0000-000026010000}"/>
    <cellStyle name="Calculation 2 2 7 2" xfId="2690" xr:uid="{00000000-0005-0000-0000-000027010000}"/>
    <cellStyle name="Calculation 2 2 8" xfId="317" xr:uid="{00000000-0005-0000-0000-000028010000}"/>
    <cellStyle name="Calculation 2 2 8 2" xfId="2691" xr:uid="{00000000-0005-0000-0000-000029010000}"/>
    <cellStyle name="Calculation 2 2 9" xfId="318" xr:uid="{00000000-0005-0000-0000-00002A010000}"/>
    <cellStyle name="Calculation 2 2 9 2" xfId="2692" xr:uid="{00000000-0005-0000-0000-00002B010000}"/>
    <cellStyle name="Calculation 2 3" xfId="319" xr:uid="{00000000-0005-0000-0000-00002C010000}"/>
    <cellStyle name="Calculation 2 3 10" xfId="320" xr:uid="{00000000-0005-0000-0000-00002D010000}"/>
    <cellStyle name="Calculation 2 3 10 2" xfId="2694" xr:uid="{00000000-0005-0000-0000-00002E010000}"/>
    <cellStyle name="Calculation 2 3 11" xfId="321" xr:uid="{00000000-0005-0000-0000-00002F010000}"/>
    <cellStyle name="Calculation 2 3 11 2" xfId="2695" xr:uid="{00000000-0005-0000-0000-000030010000}"/>
    <cellStyle name="Calculation 2 3 12" xfId="322" xr:uid="{00000000-0005-0000-0000-000031010000}"/>
    <cellStyle name="Calculation 2 3 12 2" xfId="2696" xr:uid="{00000000-0005-0000-0000-000032010000}"/>
    <cellStyle name="Calculation 2 3 13" xfId="323" xr:uid="{00000000-0005-0000-0000-000033010000}"/>
    <cellStyle name="Calculation 2 3 13 2" xfId="2697" xr:uid="{00000000-0005-0000-0000-000034010000}"/>
    <cellStyle name="Calculation 2 3 14" xfId="2693" xr:uid="{00000000-0005-0000-0000-000035010000}"/>
    <cellStyle name="Calculation 2 3 2" xfId="324" xr:uid="{00000000-0005-0000-0000-000036010000}"/>
    <cellStyle name="Calculation 2 3 2 2" xfId="2698" xr:uid="{00000000-0005-0000-0000-000037010000}"/>
    <cellStyle name="Calculation 2 3 3" xfId="325" xr:uid="{00000000-0005-0000-0000-000038010000}"/>
    <cellStyle name="Calculation 2 3 3 2" xfId="2699" xr:uid="{00000000-0005-0000-0000-000039010000}"/>
    <cellStyle name="Calculation 2 3 4" xfId="326" xr:uid="{00000000-0005-0000-0000-00003A010000}"/>
    <cellStyle name="Calculation 2 3 4 2" xfId="2700" xr:uid="{00000000-0005-0000-0000-00003B010000}"/>
    <cellStyle name="Calculation 2 3 5" xfId="327" xr:uid="{00000000-0005-0000-0000-00003C010000}"/>
    <cellStyle name="Calculation 2 3 5 2" xfId="2701" xr:uid="{00000000-0005-0000-0000-00003D010000}"/>
    <cellStyle name="Calculation 2 3 6" xfId="328" xr:uid="{00000000-0005-0000-0000-00003E010000}"/>
    <cellStyle name="Calculation 2 3 6 2" xfId="2702" xr:uid="{00000000-0005-0000-0000-00003F010000}"/>
    <cellStyle name="Calculation 2 3 7" xfId="329" xr:uid="{00000000-0005-0000-0000-000040010000}"/>
    <cellStyle name="Calculation 2 3 7 2" xfId="2703" xr:uid="{00000000-0005-0000-0000-000041010000}"/>
    <cellStyle name="Calculation 2 3 8" xfId="330" xr:uid="{00000000-0005-0000-0000-000042010000}"/>
    <cellStyle name="Calculation 2 3 8 2" xfId="2704" xr:uid="{00000000-0005-0000-0000-000043010000}"/>
    <cellStyle name="Calculation 2 3 9" xfId="331" xr:uid="{00000000-0005-0000-0000-000044010000}"/>
    <cellStyle name="Calculation 2 3 9 2" xfId="2705" xr:uid="{00000000-0005-0000-0000-000045010000}"/>
    <cellStyle name="Calculation 2 4" xfId="2679" xr:uid="{00000000-0005-0000-0000-000046010000}"/>
    <cellStyle name="Calculation 3" xfId="332" xr:uid="{00000000-0005-0000-0000-000047010000}"/>
    <cellStyle name="Calculation 3 2" xfId="333" xr:uid="{00000000-0005-0000-0000-000048010000}"/>
    <cellStyle name="Calculation 3 2 10" xfId="334" xr:uid="{00000000-0005-0000-0000-000049010000}"/>
    <cellStyle name="Calculation 3 2 10 2" xfId="2708" xr:uid="{00000000-0005-0000-0000-00004A010000}"/>
    <cellStyle name="Calculation 3 2 11" xfId="335" xr:uid="{00000000-0005-0000-0000-00004B010000}"/>
    <cellStyle name="Calculation 3 2 11 2" xfId="2709" xr:uid="{00000000-0005-0000-0000-00004C010000}"/>
    <cellStyle name="Calculation 3 2 12" xfId="336" xr:uid="{00000000-0005-0000-0000-00004D010000}"/>
    <cellStyle name="Calculation 3 2 12 2" xfId="2710" xr:uid="{00000000-0005-0000-0000-00004E010000}"/>
    <cellStyle name="Calculation 3 2 13" xfId="337" xr:uid="{00000000-0005-0000-0000-00004F010000}"/>
    <cellStyle name="Calculation 3 2 13 2" xfId="2711" xr:uid="{00000000-0005-0000-0000-000050010000}"/>
    <cellStyle name="Calculation 3 2 14" xfId="2707" xr:uid="{00000000-0005-0000-0000-000051010000}"/>
    <cellStyle name="Calculation 3 2 2" xfId="338" xr:uid="{00000000-0005-0000-0000-000052010000}"/>
    <cellStyle name="Calculation 3 2 2 2" xfId="2712" xr:uid="{00000000-0005-0000-0000-000053010000}"/>
    <cellStyle name="Calculation 3 2 3" xfId="339" xr:uid="{00000000-0005-0000-0000-000054010000}"/>
    <cellStyle name="Calculation 3 2 3 2" xfId="2713" xr:uid="{00000000-0005-0000-0000-000055010000}"/>
    <cellStyle name="Calculation 3 2 4" xfId="340" xr:uid="{00000000-0005-0000-0000-000056010000}"/>
    <cellStyle name="Calculation 3 2 4 2" xfId="2714" xr:uid="{00000000-0005-0000-0000-000057010000}"/>
    <cellStyle name="Calculation 3 2 5" xfId="341" xr:uid="{00000000-0005-0000-0000-000058010000}"/>
    <cellStyle name="Calculation 3 2 5 2" xfId="2715" xr:uid="{00000000-0005-0000-0000-000059010000}"/>
    <cellStyle name="Calculation 3 2 6" xfId="342" xr:uid="{00000000-0005-0000-0000-00005A010000}"/>
    <cellStyle name="Calculation 3 2 6 2" xfId="2716" xr:uid="{00000000-0005-0000-0000-00005B010000}"/>
    <cellStyle name="Calculation 3 2 7" xfId="343" xr:uid="{00000000-0005-0000-0000-00005C010000}"/>
    <cellStyle name="Calculation 3 2 7 2" xfId="2717" xr:uid="{00000000-0005-0000-0000-00005D010000}"/>
    <cellStyle name="Calculation 3 2 8" xfId="344" xr:uid="{00000000-0005-0000-0000-00005E010000}"/>
    <cellStyle name="Calculation 3 2 8 2" xfId="2718" xr:uid="{00000000-0005-0000-0000-00005F010000}"/>
    <cellStyle name="Calculation 3 2 9" xfId="345" xr:uid="{00000000-0005-0000-0000-000060010000}"/>
    <cellStyle name="Calculation 3 2 9 2" xfId="2719" xr:uid="{00000000-0005-0000-0000-000061010000}"/>
    <cellStyle name="Calculation 3 3" xfId="346" xr:uid="{00000000-0005-0000-0000-000062010000}"/>
    <cellStyle name="Calculation 3 3 10" xfId="347" xr:uid="{00000000-0005-0000-0000-000063010000}"/>
    <cellStyle name="Calculation 3 3 10 2" xfId="2721" xr:uid="{00000000-0005-0000-0000-000064010000}"/>
    <cellStyle name="Calculation 3 3 11" xfId="348" xr:uid="{00000000-0005-0000-0000-000065010000}"/>
    <cellStyle name="Calculation 3 3 11 2" xfId="2722" xr:uid="{00000000-0005-0000-0000-000066010000}"/>
    <cellStyle name="Calculation 3 3 12" xfId="349" xr:uid="{00000000-0005-0000-0000-000067010000}"/>
    <cellStyle name="Calculation 3 3 12 2" xfId="2723" xr:uid="{00000000-0005-0000-0000-000068010000}"/>
    <cellStyle name="Calculation 3 3 13" xfId="350" xr:uid="{00000000-0005-0000-0000-000069010000}"/>
    <cellStyle name="Calculation 3 3 13 2" xfId="2724" xr:uid="{00000000-0005-0000-0000-00006A010000}"/>
    <cellStyle name="Calculation 3 3 14" xfId="2720" xr:uid="{00000000-0005-0000-0000-00006B010000}"/>
    <cellStyle name="Calculation 3 3 2" xfId="351" xr:uid="{00000000-0005-0000-0000-00006C010000}"/>
    <cellStyle name="Calculation 3 3 2 2" xfId="2725" xr:uid="{00000000-0005-0000-0000-00006D010000}"/>
    <cellStyle name="Calculation 3 3 3" xfId="352" xr:uid="{00000000-0005-0000-0000-00006E010000}"/>
    <cellStyle name="Calculation 3 3 3 2" xfId="2726" xr:uid="{00000000-0005-0000-0000-00006F010000}"/>
    <cellStyle name="Calculation 3 3 4" xfId="353" xr:uid="{00000000-0005-0000-0000-000070010000}"/>
    <cellStyle name="Calculation 3 3 4 2" xfId="2727" xr:uid="{00000000-0005-0000-0000-000071010000}"/>
    <cellStyle name="Calculation 3 3 5" xfId="354" xr:uid="{00000000-0005-0000-0000-000072010000}"/>
    <cellStyle name="Calculation 3 3 5 2" xfId="2728" xr:uid="{00000000-0005-0000-0000-000073010000}"/>
    <cellStyle name="Calculation 3 3 6" xfId="355" xr:uid="{00000000-0005-0000-0000-000074010000}"/>
    <cellStyle name="Calculation 3 3 6 2" xfId="2729" xr:uid="{00000000-0005-0000-0000-000075010000}"/>
    <cellStyle name="Calculation 3 3 7" xfId="356" xr:uid="{00000000-0005-0000-0000-000076010000}"/>
    <cellStyle name="Calculation 3 3 7 2" xfId="2730" xr:uid="{00000000-0005-0000-0000-000077010000}"/>
    <cellStyle name="Calculation 3 3 8" xfId="357" xr:uid="{00000000-0005-0000-0000-000078010000}"/>
    <cellStyle name="Calculation 3 3 8 2" xfId="2731" xr:uid="{00000000-0005-0000-0000-000079010000}"/>
    <cellStyle name="Calculation 3 3 9" xfId="358" xr:uid="{00000000-0005-0000-0000-00007A010000}"/>
    <cellStyle name="Calculation 3 3 9 2" xfId="2732" xr:uid="{00000000-0005-0000-0000-00007B010000}"/>
    <cellStyle name="Calculation 3 4" xfId="2706" xr:uid="{00000000-0005-0000-0000-00007C010000}"/>
    <cellStyle name="Calculation 4" xfId="359" xr:uid="{00000000-0005-0000-0000-00007D010000}"/>
    <cellStyle name="Calculation 4 2" xfId="360" xr:uid="{00000000-0005-0000-0000-00007E010000}"/>
    <cellStyle name="Calculation 4 2 10" xfId="361" xr:uid="{00000000-0005-0000-0000-00007F010000}"/>
    <cellStyle name="Calculation 4 2 10 2" xfId="2735" xr:uid="{00000000-0005-0000-0000-000080010000}"/>
    <cellStyle name="Calculation 4 2 11" xfId="362" xr:uid="{00000000-0005-0000-0000-000081010000}"/>
    <cellStyle name="Calculation 4 2 11 2" xfId="2736" xr:uid="{00000000-0005-0000-0000-000082010000}"/>
    <cellStyle name="Calculation 4 2 12" xfId="363" xr:uid="{00000000-0005-0000-0000-000083010000}"/>
    <cellStyle name="Calculation 4 2 12 2" xfId="2737" xr:uid="{00000000-0005-0000-0000-000084010000}"/>
    <cellStyle name="Calculation 4 2 13" xfId="364" xr:uid="{00000000-0005-0000-0000-000085010000}"/>
    <cellStyle name="Calculation 4 2 13 2" xfId="2738" xr:uid="{00000000-0005-0000-0000-000086010000}"/>
    <cellStyle name="Calculation 4 2 14" xfId="2734" xr:uid="{00000000-0005-0000-0000-000087010000}"/>
    <cellStyle name="Calculation 4 2 2" xfId="365" xr:uid="{00000000-0005-0000-0000-000088010000}"/>
    <cellStyle name="Calculation 4 2 2 2" xfId="2739" xr:uid="{00000000-0005-0000-0000-000089010000}"/>
    <cellStyle name="Calculation 4 2 3" xfId="366" xr:uid="{00000000-0005-0000-0000-00008A010000}"/>
    <cellStyle name="Calculation 4 2 3 2" xfId="2740" xr:uid="{00000000-0005-0000-0000-00008B010000}"/>
    <cellStyle name="Calculation 4 2 4" xfId="367" xr:uid="{00000000-0005-0000-0000-00008C010000}"/>
    <cellStyle name="Calculation 4 2 4 2" xfId="2741" xr:uid="{00000000-0005-0000-0000-00008D010000}"/>
    <cellStyle name="Calculation 4 2 5" xfId="368" xr:uid="{00000000-0005-0000-0000-00008E010000}"/>
    <cellStyle name="Calculation 4 2 5 2" xfId="2742" xr:uid="{00000000-0005-0000-0000-00008F010000}"/>
    <cellStyle name="Calculation 4 2 6" xfId="369" xr:uid="{00000000-0005-0000-0000-000090010000}"/>
    <cellStyle name="Calculation 4 2 6 2" xfId="2743" xr:uid="{00000000-0005-0000-0000-000091010000}"/>
    <cellStyle name="Calculation 4 2 7" xfId="370" xr:uid="{00000000-0005-0000-0000-000092010000}"/>
    <cellStyle name="Calculation 4 2 7 2" xfId="2744" xr:uid="{00000000-0005-0000-0000-000093010000}"/>
    <cellStyle name="Calculation 4 2 8" xfId="371" xr:uid="{00000000-0005-0000-0000-000094010000}"/>
    <cellStyle name="Calculation 4 2 8 2" xfId="2745" xr:uid="{00000000-0005-0000-0000-000095010000}"/>
    <cellStyle name="Calculation 4 2 9" xfId="372" xr:uid="{00000000-0005-0000-0000-000096010000}"/>
    <cellStyle name="Calculation 4 2 9 2" xfId="2746" xr:uid="{00000000-0005-0000-0000-000097010000}"/>
    <cellStyle name="Calculation 4 3" xfId="373" xr:uid="{00000000-0005-0000-0000-000098010000}"/>
    <cellStyle name="Calculation 4 3 10" xfId="374" xr:uid="{00000000-0005-0000-0000-000099010000}"/>
    <cellStyle name="Calculation 4 3 10 2" xfId="2748" xr:uid="{00000000-0005-0000-0000-00009A010000}"/>
    <cellStyle name="Calculation 4 3 11" xfId="375" xr:uid="{00000000-0005-0000-0000-00009B010000}"/>
    <cellStyle name="Calculation 4 3 11 2" xfId="2749" xr:uid="{00000000-0005-0000-0000-00009C010000}"/>
    <cellStyle name="Calculation 4 3 12" xfId="376" xr:uid="{00000000-0005-0000-0000-00009D010000}"/>
    <cellStyle name="Calculation 4 3 12 2" xfId="2750" xr:uid="{00000000-0005-0000-0000-00009E010000}"/>
    <cellStyle name="Calculation 4 3 13" xfId="377" xr:uid="{00000000-0005-0000-0000-00009F010000}"/>
    <cellStyle name="Calculation 4 3 13 2" xfId="2751" xr:uid="{00000000-0005-0000-0000-0000A0010000}"/>
    <cellStyle name="Calculation 4 3 14" xfId="2747" xr:uid="{00000000-0005-0000-0000-0000A1010000}"/>
    <cellStyle name="Calculation 4 3 2" xfId="378" xr:uid="{00000000-0005-0000-0000-0000A2010000}"/>
    <cellStyle name="Calculation 4 3 2 2" xfId="2752" xr:uid="{00000000-0005-0000-0000-0000A3010000}"/>
    <cellStyle name="Calculation 4 3 3" xfId="379" xr:uid="{00000000-0005-0000-0000-0000A4010000}"/>
    <cellStyle name="Calculation 4 3 3 2" xfId="2753" xr:uid="{00000000-0005-0000-0000-0000A5010000}"/>
    <cellStyle name="Calculation 4 3 4" xfId="380" xr:uid="{00000000-0005-0000-0000-0000A6010000}"/>
    <cellStyle name="Calculation 4 3 4 2" xfId="2754" xr:uid="{00000000-0005-0000-0000-0000A7010000}"/>
    <cellStyle name="Calculation 4 3 5" xfId="381" xr:uid="{00000000-0005-0000-0000-0000A8010000}"/>
    <cellStyle name="Calculation 4 3 5 2" xfId="2755" xr:uid="{00000000-0005-0000-0000-0000A9010000}"/>
    <cellStyle name="Calculation 4 3 6" xfId="382" xr:uid="{00000000-0005-0000-0000-0000AA010000}"/>
    <cellStyle name="Calculation 4 3 6 2" xfId="2756" xr:uid="{00000000-0005-0000-0000-0000AB010000}"/>
    <cellStyle name="Calculation 4 3 7" xfId="383" xr:uid="{00000000-0005-0000-0000-0000AC010000}"/>
    <cellStyle name="Calculation 4 3 7 2" xfId="2757" xr:uid="{00000000-0005-0000-0000-0000AD010000}"/>
    <cellStyle name="Calculation 4 3 8" xfId="384" xr:uid="{00000000-0005-0000-0000-0000AE010000}"/>
    <cellStyle name="Calculation 4 3 8 2" xfId="2758" xr:uid="{00000000-0005-0000-0000-0000AF010000}"/>
    <cellStyle name="Calculation 4 3 9" xfId="385" xr:uid="{00000000-0005-0000-0000-0000B0010000}"/>
    <cellStyle name="Calculation 4 3 9 2" xfId="2759" xr:uid="{00000000-0005-0000-0000-0000B1010000}"/>
    <cellStyle name="Calculation 4 4" xfId="2733" xr:uid="{00000000-0005-0000-0000-0000B2010000}"/>
    <cellStyle name="Calculation 5" xfId="386" xr:uid="{00000000-0005-0000-0000-0000B3010000}"/>
    <cellStyle name="Calculation 5 10" xfId="387" xr:uid="{00000000-0005-0000-0000-0000B4010000}"/>
    <cellStyle name="Calculation 5 10 2" xfId="2761" xr:uid="{00000000-0005-0000-0000-0000B5010000}"/>
    <cellStyle name="Calculation 5 11" xfId="388" xr:uid="{00000000-0005-0000-0000-0000B6010000}"/>
    <cellStyle name="Calculation 5 11 2" xfId="2762" xr:uid="{00000000-0005-0000-0000-0000B7010000}"/>
    <cellStyle name="Calculation 5 12" xfId="389" xr:uid="{00000000-0005-0000-0000-0000B8010000}"/>
    <cellStyle name="Calculation 5 12 2" xfId="2763" xr:uid="{00000000-0005-0000-0000-0000B9010000}"/>
    <cellStyle name="Calculation 5 13" xfId="390" xr:uid="{00000000-0005-0000-0000-0000BA010000}"/>
    <cellStyle name="Calculation 5 13 2" xfId="2764" xr:uid="{00000000-0005-0000-0000-0000BB010000}"/>
    <cellStyle name="Calculation 5 14" xfId="2760" xr:uid="{00000000-0005-0000-0000-0000BC010000}"/>
    <cellStyle name="Calculation 5 2" xfId="391" xr:uid="{00000000-0005-0000-0000-0000BD010000}"/>
    <cellStyle name="Calculation 5 2 2" xfId="2765" xr:uid="{00000000-0005-0000-0000-0000BE010000}"/>
    <cellStyle name="Calculation 5 3" xfId="392" xr:uid="{00000000-0005-0000-0000-0000BF010000}"/>
    <cellStyle name="Calculation 5 3 2" xfId="2766" xr:uid="{00000000-0005-0000-0000-0000C0010000}"/>
    <cellStyle name="Calculation 5 4" xfId="393" xr:uid="{00000000-0005-0000-0000-0000C1010000}"/>
    <cellStyle name="Calculation 5 4 2" xfId="2767" xr:uid="{00000000-0005-0000-0000-0000C2010000}"/>
    <cellStyle name="Calculation 5 5" xfId="394" xr:uid="{00000000-0005-0000-0000-0000C3010000}"/>
    <cellStyle name="Calculation 5 5 2" xfId="2768" xr:uid="{00000000-0005-0000-0000-0000C4010000}"/>
    <cellStyle name="Calculation 5 6" xfId="395" xr:uid="{00000000-0005-0000-0000-0000C5010000}"/>
    <cellStyle name="Calculation 5 6 2" xfId="2769" xr:uid="{00000000-0005-0000-0000-0000C6010000}"/>
    <cellStyle name="Calculation 5 7" xfId="396" xr:uid="{00000000-0005-0000-0000-0000C7010000}"/>
    <cellStyle name="Calculation 5 7 2" xfId="2770" xr:uid="{00000000-0005-0000-0000-0000C8010000}"/>
    <cellStyle name="Calculation 5 8" xfId="397" xr:uid="{00000000-0005-0000-0000-0000C9010000}"/>
    <cellStyle name="Calculation 5 8 2" xfId="2771" xr:uid="{00000000-0005-0000-0000-0000CA010000}"/>
    <cellStyle name="Calculation 5 9" xfId="398" xr:uid="{00000000-0005-0000-0000-0000CB010000}"/>
    <cellStyle name="Calculation 5 9 2" xfId="2772" xr:uid="{00000000-0005-0000-0000-0000CC010000}"/>
    <cellStyle name="Calculation 6" xfId="399" xr:uid="{00000000-0005-0000-0000-0000CD010000}"/>
    <cellStyle name="Calculation 6 10" xfId="400" xr:uid="{00000000-0005-0000-0000-0000CE010000}"/>
    <cellStyle name="Calculation 6 10 2" xfId="2774" xr:uid="{00000000-0005-0000-0000-0000CF010000}"/>
    <cellStyle name="Calculation 6 11" xfId="401" xr:uid="{00000000-0005-0000-0000-0000D0010000}"/>
    <cellStyle name="Calculation 6 11 2" xfId="2775" xr:uid="{00000000-0005-0000-0000-0000D1010000}"/>
    <cellStyle name="Calculation 6 12" xfId="402" xr:uid="{00000000-0005-0000-0000-0000D2010000}"/>
    <cellStyle name="Calculation 6 12 2" xfId="2776" xr:uid="{00000000-0005-0000-0000-0000D3010000}"/>
    <cellStyle name="Calculation 6 13" xfId="403" xr:uid="{00000000-0005-0000-0000-0000D4010000}"/>
    <cellStyle name="Calculation 6 13 2" xfId="2777" xr:uid="{00000000-0005-0000-0000-0000D5010000}"/>
    <cellStyle name="Calculation 6 14" xfId="2773" xr:uid="{00000000-0005-0000-0000-0000D6010000}"/>
    <cellStyle name="Calculation 6 2" xfId="404" xr:uid="{00000000-0005-0000-0000-0000D7010000}"/>
    <cellStyle name="Calculation 6 2 2" xfId="2778" xr:uid="{00000000-0005-0000-0000-0000D8010000}"/>
    <cellStyle name="Calculation 6 3" xfId="405" xr:uid="{00000000-0005-0000-0000-0000D9010000}"/>
    <cellStyle name="Calculation 6 3 2" xfId="2779" xr:uid="{00000000-0005-0000-0000-0000DA010000}"/>
    <cellStyle name="Calculation 6 4" xfId="406" xr:uid="{00000000-0005-0000-0000-0000DB010000}"/>
    <cellStyle name="Calculation 6 4 2" xfId="2780" xr:uid="{00000000-0005-0000-0000-0000DC010000}"/>
    <cellStyle name="Calculation 6 5" xfId="407" xr:uid="{00000000-0005-0000-0000-0000DD010000}"/>
    <cellStyle name="Calculation 6 5 2" xfId="2781" xr:uid="{00000000-0005-0000-0000-0000DE010000}"/>
    <cellStyle name="Calculation 6 6" xfId="408" xr:uid="{00000000-0005-0000-0000-0000DF010000}"/>
    <cellStyle name="Calculation 6 6 2" xfId="2782" xr:uid="{00000000-0005-0000-0000-0000E0010000}"/>
    <cellStyle name="Calculation 6 7" xfId="409" xr:uid="{00000000-0005-0000-0000-0000E1010000}"/>
    <cellStyle name="Calculation 6 7 2" xfId="2783" xr:uid="{00000000-0005-0000-0000-0000E2010000}"/>
    <cellStyle name="Calculation 6 8" xfId="410" xr:uid="{00000000-0005-0000-0000-0000E3010000}"/>
    <cellStyle name="Calculation 6 8 2" xfId="2784" xr:uid="{00000000-0005-0000-0000-0000E4010000}"/>
    <cellStyle name="Calculation 6 9" xfId="411" xr:uid="{00000000-0005-0000-0000-0000E5010000}"/>
    <cellStyle name="Calculation 6 9 2" xfId="2785" xr:uid="{00000000-0005-0000-0000-0000E6010000}"/>
    <cellStyle name="Calculation 7" xfId="2678" xr:uid="{00000000-0005-0000-0000-0000E7010000}"/>
    <cellStyle name="Check Cell" xfId="412" xr:uid="{00000000-0005-0000-0000-0000E8010000}"/>
    <cellStyle name="Check Cell 2" xfId="413" xr:uid="{00000000-0005-0000-0000-0000E9010000}"/>
    <cellStyle name="Check Cell 3" xfId="414" xr:uid="{00000000-0005-0000-0000-0000EA010000}"/>
    <cellStyle name="Check Cell 4" xfId="415" xr:uid="{00000000-0005-0000-0000-0000EB010000}"/>
    <cellStyle name="Comma [0]" xfId="416" xr:uid="{00000000-0005-0000-0000-0000EC010000}"/>
    <cellStyle name="Comma 10" xfId="417" xr:uid="{00000000-0005-0000-0000-0000ED010000}"/>
    <cellStyle name="Comma 11" xfId="418" xr:uid="{00000000-0005-0000-0000-0000EE010000}"/>
    <cellStyle name="Comma 12" xfId="419" xr:uid="{00000000-0005-0000-0000-0000EF010000}"/>
    <cellStyle name="Comma 13" xfId="420" xr:uid="{00000000-0005-0000-0000-0000F0010000}"/>
    <cellStyle name="Comma 14" xfId="421" xr:uid="{00000000-0005-0000-0000-0000F1010000}"/>
    <cellStyle name="Comma 15" xfId="422" xr:uid="{00000000-0005-0000-0000-0000F2010000}"/>
    <cellStyle name="Comma 2" xfId="423" xr:uid="{00000000-0005-0000-0000-0000F3010000}"/>
    <cellStyle name="Comma 2 2" xfId="424" xr:uid="{00000000-0005-0000-0000-0000F4010000}"/>
    <cellStyle name="Comma 2 2 2" xfId="425" xr:uid="{00000000-0005-0000-0000-0000F5010000}"/>
    <cellStyle name="Comma 2 3" xfId="426" xr:uid="{00000000-0005-0000-0000-0000F6010000}"/>
    <cellStyle name="Comma 2 6" xfId="427" xr:uid="{00000000-0005-0000-0000-0000F7010000}"/>
    <cellStyle name="Comma 2 6 2" xfId="428" xr:uid="{00000000-0005-0000-0000-0000F8010000}"/>
    <cellStyle name="Comma 2 6 2 2" xfId="429" xr:uid="{00000000-0005-0000-0000-0000F9010000}"/>
    <cellStyle name="Comma 2 7" xfId="430" xr:uid="{00000000-0005-0000-0000-0000FA010000}"/>
    <cellStyle name="Comma 2 7 2" xfId="431" xr:uid="{00000000-0005-0000-0000-0000FB010000}"/>
    <cellStyle name="Comma 2 8" xfId="432" xr:uid="{00000000-0005-0000-0000-0000FC010000}"/>
    <cellStyle name="Comma 3" xfId="433" xr:uid="{00000000-0005-0000-0000-0000FD010000}"/>
    <cellStyle name="Comma 3 2" xfId="434" xr:uid="{00000000-0005-0000-0000-0000FE010000}"/>
    <cellStyle name="Comma 4" xfId="435" xr:uid="{00000000-0005-0000-0000-0000FF010000}"/>
    <cellStyle name="Comma 4 2" xfId="436" xr:uid="{00000000-0005-0000-0000-000000020000}"/>
    <cellStyle name="Comma 5" xfId="437" xr:uid="{00000000-0005-0000-0000-000001020000}"/>
    <cellStyle name="Comma 6" xfId="438" xr:uid="{00000000-0005-0000-0000-000002020000}"/>
    <cellStyle name="Comma 7" xfId="439" xr:uid="{00000000-0005-0000-0000-000003020000}"/>
    <cellStyle name="Comma 8" xfId="440" xr:uid="{00000000-0005-0000-0000-000004020000}"/>
    <cellStyle name="Comma 9" xfId="441" xr:uid="{00000000-0005-0000-0000-000005020000}"/>
    <cellStyle name="Comma_K I L 11200-FTS-MC-IP12 (WTP)R1" xfId="442" xr:uid="{00000000-0005-0000-0000-000006020000}"/>
    <cellStyle name="Comma0" xfId="443" xr:uid="{00000000-0005-0000-0000-000007020000}"/>
    <cellStyle name="Comma0 2" xfId="444" xr:uid="{00000000-0005-0000-0000-000008020000}"/>
    <cellStyle name="Comman ('000)" xfId="445" xr:uid="{00000000-0005-0000-0000-000009020000}"/>
    <cellStyle name="Comman ('000) 2" xfId="446" xr:uid="{00000000-0005-0000-0000-00000A020000}"/>
    <cellStyle name="Comman ('000,000)" xfId="447" xr:uid="{00000000-0005-0000-0000-00000B020000}"/>
    <cellStyle name="Comman ('000,000) 2" xfId="448" xr:uid="{00000000-0005-0000-0000-00000C020000}"/>
    <cellStyle name="Currency [0]" xfId="449" xr:uid="{00000000-0005-0000-0000-00000D020000}"/>
    <cellStyle name="Currency 2" xfId="450" xr:uid="{00000000-0005-0000-0000-00000E020000}"/>
    <cellStyle name="Currency 3" xfId="451" xr:uid="{00000000-0005-0000-0000-00000F020000}"/>
    <cellStyle name="Currency 4" xfId="452" xr:uid="{00000000-0005-0000-0000-000010020000}"/>
    <cellStyle name="Currency 5" xfId="453" xr:uid="{00000000-0005-0000-0000-000011020000}"/>
    <cellStyle name="Currency 6" xfId="454" xr:uid="{00000000-0005-0000-0000-000012020000}"/>
    <cellStyle name="Currency 7" xfId="455" xr:uid="{00000000-0005-0000-0000-000013020000}"/>
    <cellStyle name="Currency 8" xfId="456" xr:uid="{00000000-0005-0000-0000-000014020000}"/>
    <cellStyle name="Currency 9" xfId="457" xr:uid="{00000000-0005-0000-0000-000015020000}"/>
    <cellStyle name="Currency0" xfId="458" xr:uid="{00000000-0005-0000-0000-000016020000}"/>
    <cellStyle name="Currency0 2" xfId="459" xr:uid="{00000000-0005-0000-0000-000017020000}"/>
    <cellStyle name="Custom - Style8" xfId="460" xr:uid="{00000000-0005-0000-0000-000018020000}"/>
    <cellStyle name="Custom - Style8 2" xfId="461" xr:uid="{00000000-0005-0000-0000-000019020000}"/>
    <cellStyle name="Data   - Style2" xfId="462" xr:uid="{00000000-0005-0000-0000-00001A020000}"/>
    <cellStyle name="Data   - Style2 2" xfId="463" xr:uid="{00000000-0005-0000-0000-00001B020000}"/>
    <cellStyle name="Data   - Style2 2 2" xfId="464" xr:uid="{00000000-0005-0000-0000-00001C020000}"/>
    <cellStyle name="Data   - Style2 2 2 10" xfId="465" xr:uid="{00000000-0005-0000-0000-00001D020000}"/>
    <cellStyle name="Data   - Style2 2 2 10 2" xfId="2789" xr:uid="{00000000-0005-0000-0000-00001E020000}"/>
    <cellStyle name="Data   - Style2 2 2 11" xfId="466" xr:uid="{00000000-0005-0000-0000-00001F020000}"/>
    <cellStyle name="Data   - Style2 2 2 11 2" xfId="2790" xr:uid="{00000000-0005-0000-0000-000020020000}"/>
    <cellStyle name="Data   - Style2 2 2 12" xfId="467" xr:uid="{00000000-0005-0000-0000-000021020000}"/>
    <cellStyle name="Data   - Style2 2 2 12 2" xfId="2791" xr:uid="{00000000-0005-0000-0000-000022020000}"/>
    <cellStyle name="Data   - Style2 2 2 13" xfId="468" xr:uid="{00000000-0005-0000-0000-000023020000}"/>
    <cellStyle name="Data   - Style2 2 2 13 2" xfId="2792" xr:uid="{00000000-0005-0000-0000-000024020000}"/>
    <cellStyle name="Data   - Style2 2 2 14" xfId="2788" xr:uid="{00000000-0005-0000-0000-000025020000}"/>
    <cellStyle name="Data   - Style2 2 2 2" xfId="469" xr:uid="{00000000-0005-0000-0000-000026020000}"/>
    <cellStyle name="Data   - Style2 2 2 2 2" xfId="2793" xr:uid="{00000000-0005-0000-0000-000027020000}"/>
    <cellStyle name="Data   - Style2 2 2 3" xfId="470" xr:uid="{00000000-0005-0000-0000-000028020000}"/>
    <cellStyle name="Data   - Style2 2 2 3 2" xfId="2794" xr:uid="{00000000-0005-0000-0000-000029020000}"/>
    <cellStyle name="Data   - Style2 2 2 4" xfId="471" xr:uid="{00000000-0005-0000-0000-00002A020000}"/>
    <cellStyle name="Data   - Style2 2 2 4 2" xfId="2795" xr:uid="{00000000-0005-0000-0000-00002B020000}"/>
    <cellStyle name="Data   - Style2 2 2 5" xfId="472" xr:uid="{00000000-0005-0000-0000-00002C020000}"/>
    <cellStyle name="Data   - Style2 2 2 5 2" xfId="2796" xr:uid="{00000000-0005-0000-0000-00002D020000}"/>
    <cellStyle name="Data   - Style2 2 2 6" xfId="473" xr:uid="{00000000-0005-0000-0000-00002E020000}"/>
    <cellStyle name="Data   - Style2 2 2 6 2" xfId="2797" xr:uid="{00000000-0005-0000-0000-00002F020000}"/>
    <cellStyle name="Data   - Style2 2 2 7" xfId="474" xr:uid="{00000000-0005-0000-0000-000030020000}"/>
    <cellStyle name="Data   - Style2 2 2 7 2" xfId="2798" xr:uid="{00000000-0005-0000-0000-000031020000}"/>
    <cellStyle name="Data   - Style2 2 2 8" xfId="475" xr:uid="{00000000-0005-0000-0000-000032020000}"/>
    <cellStyle name="Data   - Style2 2 2 8 2" xfId="2799" xr:uid="{00000000-0005-0000-0000-000033020000}"/>
    <cellStyle name="Data   - Style2 2 2 9" xfId="476" xr:uid="{00000000-0005-0000-0000-000034020000}"/>
    <cellStyle name="Data   - Style2 2 2 9 2" xfId="2800" xr:uid="{00000000-0005-0000-0000-000035020000}"/>
    <cellStyle name="Data   - Style2 2 3" xfId="477" xr:uid="{00000000-0005-0000-0000-000036020000}"/>
    <cellStyle name="Data   - Style2 2 3 10" xfId="478" xr:uid="{00000000-0005-0000-0000-000037020000}"/>
    <cellStyle name="Data   - Style2 2 3 10 2" xfId="2802" xr:uid="{00000000-0005-0000-0000-000038020000}"/>
    <cellStyle name="Data   - Style2 2 3 11" xfId="479" xr:uid="{00000000-0005-0000-0000-000039020000}"/>
    <cellStyle name="Data   - Style2 2 3 11 2" xfId="2803" xr:uid="{00000000-0005-0000-0000-00003A020000}"/>
    <cellStyle name="Data   - Style2 2 3 12" xfId="480" xr:uid="{00000000-0005-0000-0000-00003B020000}"/>
    <cellStyle name="Data   - Style2 2 3 12 2" xfId="2804" xr:uid="{00000000-0005-0000-0000-00003C020000}"/>
    <cellStyle name="Data   - Style2 2 3 13" xfId="481" xr:uid="{00000000-0005-0000-0000-00003D020000}"/>
    <cellStyle name="Data   - Style2 2 3 13 2" xfId="2805" xr:uid="{00000000-0005-0000-0000-00003E020000}"/>
    <cellStyle name="Data   - Style2 2 3 14" xfId="2801" xr:uid="{00000000-0005-0000-0000-00003F020000}"/>
    <cellStyle name="Data   - Style2 2 3 2" xfId="482" xr:uid="{00000000-0005-0000-0000-000040020000}"/>
    <cellStyle name="Data   - Style2 2 3 2 2" xfId="2806" xr:uid="{00000000-0005-0000-0000-000041020000}"/>
    <cellStyle name="Data   - Style2 2 3 3" xfId="483" xr:uid="{00000000-0005-0000-0000-000042020000}"/>
    <cellStyle name="Data   - Style2 2 3 3 2" xfId="2807" xr:uid="{00000000-0005-0000-0000-000043020000}"/>
    <cellStyle name="Data   - Style2 2 3 4" xfId="484" xr:uid="{00000000-0005-0000-0000-000044020000}"/>
    <cellStyle name="Data   - Style2 2 3 4 2" xfId="2808" xr:uid="{00000000-0005-0000-0000-000045020000}"/>
    <cellStyle name="Data   - Style2 2 3 5" xfId="485" xr:uid="{00000000-0005-0000-0000-000046020000}"/>
    <cellStyle name="Data   - Style2 2 3 5 2" xfId="2809" xr:uid="{00000000-0005-0000-0000-000047020000}"/>
    <cellStyle name="Data   - Style2 2 3 6" xfId="486" xr:uid="{00000000-0005-0000-0000-000048020000}"/>
    <cellStyle name="Data   - Style2 2 3 6 2" xfId="2810" xr:uid="{00000000-0005-0000-0000-000049020000}"/>
    <cellStyle name="Data   - Style2 2 3 7" xfId="487" xr:uid="{00000000-0005-0000-0000-00004A020000}"/>
    <cellStyle name="Data   - Style2 2 3 7 2" xfId="2811" xr:uid="{00000000-0005-0000-0000-00004B020000}"/>
    <cellStyle name="Data   - Style2 2 3 8" xfId="488" xr:uid="{00000000-0005-0000-0000-00004C020000}"/>
    <cellStyle name="Data   - Style2 2 3 8 2" xfId="2812" xr:uid="{00000000-0005-0000-0000-00004D020000}"/>
    <cellStyle name="Data   - Style2 2 3 9" xfId="489" xr:uid="{00000000-0005-0000-0000-00004E020000}"/>
    <cellStyle name="Data   - Style2 2 3 9 2" xfId="2813" xr:uid="{00000000-0005-0000-0000-00004F020000}"/>
    <cellStyle name="Data   - Style2 2 4" xfId="490" xr:uid="{00000000-0005-0000-0000-000050020000}"/>
    <cellStyle name="Data   - Style2 2 4 2" xfId="2814" xr:uid="{00000000-0005-0000-0000-000051020000}"/>
    <cellStyle name="Data   - Style2 2 5" xfId="2787" xr:uid="{00000000-0005-0000-0000-000052020000}"/>
    <cellStyle name="Data   - Style2 3" xfId="491" xr:uid="{00000000-0005-0000-0000-000053020000}"/>
    <cellStyle name="Data   - Style2 3 10" xfId="492" xr:uid="{00000000-0005-0000-0000-000054020000}"/>
    <cellStyle name="Data   - Style2 3 10 2" xfId="2816" xr:uid="{00000000-0005-0000-0000-000055020000}"/>
    <cellStyle name="Data   - Style2 3 11" xfId="493" xr:uid="{00000000-0005-0000-0000-000056020000}"/>
    <cellStyle name="Data   - Style2 3 11 2" xfId="2817" xr:uid="{00000000-0005-0000-0000-000057020000}"/>
    <cellStyle name="Data   - Style2 3 12" xfId="494" xr:uid="{00000000-0005-0000-0000-000058020000}"/>
    <cellStyle name="Data   - Style2 3 12 2" xfId="2818" xr:uid="{00000000-0005-0000-0000-000059020000}"/>
    <cellStyle name="Data   - Style2 3 13" xfId="495" xr:uid="{00000000-0005-0000-0000-00005A020000}"/>
    <cellStyle name="Data   - Style2 3 13 2" xfId="2819" xr:uid="{00000000-0005-0000-0000-00005B020000}"/>
    <cellStyle name="Data   - Style2 3 14" xfId="2815" xr:uid="{00000000-0005-0000-0000-00005C020000}"/>
    <cellStyle name="Data   - Style2 3 2" xfId="496" xr:uid="{00000000-0005-0000-0000-00005D020000}"/>
    <cellStyle name="Data   - Style2 3 2 2" xfId="2820" xr:uid="{00000000-0005-0000-0000-00005E020000}"/>
    <cellStyle name="Data   - Style2 3 3" xfId="497" xr:uid="{00000000-0005-0000-0000-00005F020000}"/>
    <cellStyle name="Data   - Style2 3 3 2" xfId="2821" xr:uid="{00000000-0005-0000-0000-000060020000}"/>
    <cellStyle name="Data   - Style2 3 4" xfId="498" xr:uid="{00000000-0005-0000-0000-000061020000}"/>
    <cellStyle name="Data   - Style2 3 4 2" xfId="2822" xr:uid="{00000000-0005-0000-0000-000062020000}"/>
    <cellStyle name="Data   - Style2 3 5" xfId="499" xr:uid="{00000000-0005-0000-0000-000063020000}"/>
    <cellStyle name="Data   - Style2 3 5 2" xfId="2823" xr:uid="{00000000-0005-0000-0000-000064020000}"/>
    <cellStyle name="Data   - Style2 3 6" xfId="500" xr:uid="{00000000-0005-0000-0000-000065020000}"/>
    <cellStyle name="Data   - Style2 3 6 2" xfId="2824" xr:uid="{00000000-0005-0000-0000-000066020000}"/>
    <cellStyle name="Data   - Style2 3 7" xfId="501" xr:uid="{00000000-0005-0000-0000-000067020000}"/>
    <cellStyle name="Data   - Style2 3 7 2" xfId="2825" xr:uid="{00000000-0005-0000-0000-000068020000}"/>
    <cellStyle name="Data   - Style2 3 8" xfId="502" xr:uid="{00000000-0005-0000-0000-000069020000}"/>
    <cellStyle name="Data   - Style2 3 8 2" xfId="2826" xr:uid="{00000000-0005-0000-0000-00006A020000}"/>
    <cellStyle name="Data   - Style2 3 9" xfId="503" xr:uid="{00000000-0005-0000-0000-00006B020000}"/>
    <cellStyle name="Data   - Style2 3 9 2" xfId="2827" xr:uid="{00000000-0005-0000-0000-00006C020000}"/>
    <cellStyle name="Data   - Style2 4" xfId="504" xr:uid="{00000000-0005-0000-0000-00006D020000}"/>
    <cellStyle name="Data   - Style2 4 10" xfId="505" xr:uid="{00000000-0005-0000-0000-00006E020000}"/>
    <cellStyle name="Data   - Style2 4 10 2" xfId="2829" xr:uid="{00000000-0005-0000-0000-00006F020000}"/>
    <cellStyle name="Data   - Style2 4 11" xfId="506" xr:uid="{00000000-0005-0000-0000-000070020000}"/>
    <cellStyle name="Data   - Style2 4 11 2" xfId="2830" xr:uid="{00000000-0005-0000-0000-000071020000}"/>
    <cellStyle name="Data   - Style2 4 12" xfId="507" xr:uid="{00000000-0005-0000-0000-000072020000}"/>
    <cellStyle name="Data   - Style2 4 12 2" xfId="2831" xr:uid="{00000000-0005-0000-0000-000073020000}"/>
    <cellStyle name="Data   - Style2 4 13" xfId="508" xr:uid="{00000000-0005-0000-0000-000074020000}"/>
    <cellStyle name="Data   - Style2 4 13 2" xfId="2832" xr:uid="{00000000-0005-0000-0000-000075020000}"/>
    <cellStyle name="Data   - Style2 4 14" xfId="2828" xr:uid="{00000000-0005-0000-0000-000076020000}"/>
    <cellStyle name="Data   - Style2 4 2" xfId="509" xr:uid="{00000000-0005-0000-0000-000077020000}"/>
    <cellStyle name="Data   - Style2 4 2 2" xfId="2833" xr:uid="{00000000-0005-0000-0000-000078020000}"/>
    <cellStyle name="Data   - Style2 4 3" xfId="510" xr:uid="{00000000-0005-0000-0000-000079020000}"/>
    <cellStyle name="Data   - Style2 4 3 2" xfId="2834" xr:uid="{00000000-0005-0000-0000-00007A020000}"/>
    <cellStyle name="Data   - Style2 4 4" xfId="511" xr:uid="{00000000-0005-0000-0000-00007B020000}"/>
    <cellStyle name="Data   - Style2 4 4 2" xfId="2835" xr:uid="{00000000-0005-0000-0000-00007C020000}"/>
    <cellStyle name="Data   - Style2 4 5" xfId="512" xr:uid="{00000000-0005-0000-0000-00007D020000}"/>
    <cellStyle name="Data   - Style2 4 5 2" xfId="2836" xr:uid="{00000000-0005-0000-0000-00007E020000}"/>
    <cellStyle name="Data   - Style2 4 6" xfId="513" xr:uid="{00000000-0005-0000-0000-00007F020000}"/>
    <cellStyle name="Data   - Style2 4 6 2" xfId="2837" xr:uid="{00000000-0005-0000-0000-000080020000}"/>
    <cellStyle name="Data   - Style2 4 7" xfId="514" xr:uid="{00000000-0005-0000-0000-000081020000}"/>
    <cellStyle name="Data   - Style2 4 7 2" xfId="2838" xr:uid="{00000000-0005-0000-0000-000082020000}"/>
    <cellStyle name="Data   - Style2 4 8" xfId="515" xr:uid="{00000000-0005-0000-0000-000083020000}"/>
    <cellStyle name="Data   - Style2 4 8 2" xfId="2839" xr:uid="{00000000-0005-0000-0000-000084020000}"/>
    <cellStyle name="Data   - Style2 4 9" xfId="516" xr:uid="{00000000-0005-0000-0000-000085020000}"/>
    <cellStyle name="Data   - Style2 4 9 2" xfId="2840" xr:uid="{00000000-0005-0000-0000-000086020000}"/>
    <cellStyle name="Data   - Style2 5" xfId="517" xr:uid="{00000000-0005-0000-0000-000087020000}"/>
    <cellStyle name="Data   - Style2 5 2" xfId="2841" xr:uid="{00000000-0005-0000-0000-000088020000}"/>
    <cellStyle name="Data   - Style2 6" xfId="2786" xr:uid="{00000000-0005-0000-0000-000089020000}"/>
    <cellStyle name="DataPilot Category" xfId="518" xr:uid="{00000000-0005-0000-0000-00008A020000}"/>
    <cellStyle name="DataPilot Category 2" xfId="519" xr:uid="{00000000-0005-0000-0000-00008B020000}"/>
    <cellStyle name="DataPilot Category 2 2" xfId="520" xr:uid="{00000000-0005-0000-0000-00008C020000}"/>
    <cellStyle name="DataPilot Category 2 3" xfId="521" xr:uid="{00000000-0005-0000-0000-00008D020000}"/>
    <cellStyle name="DataPilot Category 3" xfId="522" xr:uid="{00000000-0005-0000-0000-00008E020000}"/>
    <cellStyle name="DataPilot Category 4" xfId="523" xr:uid="{00000000-0005-0000-0000-00008F020000}"/>
    <cellStyle name="DataPilot Corner" xfId="524" xr:uid="{00000000-0005-0000-0000-000090020000}"/>
    <cellStyle name="DataPilot Corner 2" xfId="525" xr:uid="{00000000-0005-0000-0000-000091020000}"/>
    <cellStyle name="DataPilot Corner 2 2" xfId="526" xr:uid="{00000000-0005-0000-0000-000092020000}"/>
    <cellStyle name="DataPilot Corner 2 3" xfId="527" xr:uid="{00000000-0005-0000-0000-000093020000}"/>
    <cellStyle name="DataPilot Corner 3" xfId="528" xr:uid="{00000000-0005-0000-0000-000094020000}"/>
    <cellStyle name="DataPilot Corner 4" xfId="529" xr:uid="{00000000-0005-0000-0000-000095020000}"/>
    <cellStyle name="DataPilot Field" xfId="530" xr:uid="{00000000-0005-0000-0000-000096020000}"/>
    <cellStyle name="DataPilot Field 2" xfId="531" xr:uid="{00000000-0005-0000-0000-000097020000}"/>
    <cellStyle name="DataPilot Field 2 2" xfId="532" xr:uid="{00000000-0005-0000-0000-000098020000}"/>
    <cellStyle name="DataPilot Field 2 3" xfId="533" xr:uid="{00000000-0005-0000-0000-000099020000}"/>
    <cellStyle name="DataPilot Field 3" xfId="534" xr:uid="{00000000-0005-0000-0000-00009A020000}"/>
    <cellStyle name="DataPilot Field 4" xfId="535" xr:uid="{00000000-0005-0000-0000-00009B020000}"/>
    <cellStyle name="DataPilot Result" xfId="536" xr:uid="{00000000-0005-0000-0000-00009C020000}"/>
    <cellStyle name="DataPilot Result 2" xfId="537" xr:uid="{00000000-0005-0000-0000-00009D020000}"/>
    <cellStyle name="DataPilot Result 2 2" xfId="538" xr:uid="{00000000-0005-0000-0000-00009E020000}"/>
    <cellStyle name="DataPilot Result 2 3" xfId="539" xr:uid="{00000000-0005-0000-0000-00009F020000}"/>
    <cellStyle name="DataPilot Result 3" xfId="540" xr:uid="{00000000-0005-0000-0000-0000A0020000}"/>
    <cellStyle name="DataPilot Result 4" xfId="541" xr:uid="{00000000-0005-0000-0000-0000A1020000}"/>
    <cellStyle name="DataPilot Title" xfId="542" xr:uid="{00000000-0005-0000-0000-0000A2020000}"/>
    <cellStyle name="DataPilot Title 2" xfId="543" xr:uid="{00000000-0005-0000-0000-0000A3020000}"/>
    <cellStyle name="DataPilot Title 2 2" xfId="544" xr:uid="{00000000-0005-0000-0000-0000A4020000}"/>
    <cellStyle name="DataPilot Title 2 3" xfId="545" xr:uid="{00000000-0005-0000-0000-0000A5020000}"/>
    <cellStyle name="DataPilot Title 3" xfId="546" xr:uid="{00000000-0005-0000-0000-0000A6020000}"/>
    <cellStyle name="DataPilot Title 4" xfId="547" xr:uid="{00000000-0005-0000-0000-0000A7020000}"/>
    <cellStyle name="DataPilot Value" xfId="548" xr:uid="{00000000-0005-0000-0000-0000A8020000}"/>
    <cellStyle name="DataPilot Value 2" xfId="549" xr:uid="{00000000-0005-0000-0000-0000A9020000}"/>
    <cellStyle name="DataPilot Value 2 2" xfId="550" xr:uid="{00000000-0005-0000-0000-0000AA020000}"/>
    <cellStyle name="DataPilot Value 2 3" xfId="551" xr:uid="{00000000-0005-0000-0000-0000AB020000}"/>
    <cellStyle name="DataPilot Value 3" xfId="552" xr:uid="{00000000-0005-0000-0000-0000AC020000}"/>
    <cellStyle name="DataPilot Value 4" xfId="553" xr:uid="{00000000-0005-0000-0000-0000AD020000}"/>
    <cellStyle name="Date" xfId="554" xr:uid="{00000000-0005-0000-0000-0000AE020000}"/>
    <cellStyle name="Date 2" xfId="555" xr:uid="{00000000-0005-0000-0000-0000AF020000}"/>
    <cellStyle name="Edward" xfId="556" xr:uid="{00000000-0005-0000-0000-0000B0020000}"/>
    <cellStyle name="Edward 2" xfId="557" xr:uid="{00000000-0005-0000-0000-0000B1020000}"/>
    <cellStyle name="Euro" xfId="558" xr:uid="{00000000-0005-0000-0000-0000B2020000}"/>
    <cellStyle name="Euro 2" xfId="559" xr:uid="{00000000-0005-0000-0000-0000B3020000}"/>
    <cellStyle name="Euro 3" xfId="560" xr:uid="{00000000-0005-0000-0000-0000B4020000}"/>
    <cellStyle name="Explanatory Text" xfId="561" xr:uid="{00000000-0005-0000-0000-0000B5020000}"/>
    <cellStyle name="Explanatory Text 2" xfId="562" xr:uid="{00000000-0005-0000-0000-0000B6020000}"/>
    <cellStyle name="Explanatory Text 3" xfId="563" xr:uid="{00000000-0005-0000-0000-0000B7020000}"/>
    <cellStyle name="Explanatory Text 4" xfId="564" xr:uid="{00000000-0005-0000-0000-0000B8020000}"/>
    <cellStyle name="Fixed" xfId="565" xr:uid="{00000000-0005-0000-0000-0000B9020000}"/>
    <cellStyle name="Fixed 2" xfId="566" xr:uid="{00000000-0005-0000-0000-0000BA020000}"/>
    <cellStyle name="Good" xfId="567" xr:uid="{00000000-0005-0000-0000-0000BB020000}"/>
    <cellStyle name="Good 2" xfId="568" xr:uid="{00000000-0005-0000-0000-0000BC020000}"/>
    <cellStyle name="Good 3" xfId="569" xr:uid="{00000000-0005-0000-0000-0000BD020000}"/>
    <cellStyle name="Good 4" xfId="570" xr:uid="{00000000-0005-0000-0000-0000BE020000}"/>
    <cellStyle name="Grey" xfId="571" xr:uid="{00000000-0005-0000-0000-0000BF020000}"/>
    <cellStyle name="Grey 2" xfId="572" xr:uid="{00000000-0005-0000-0000-0000C0020000}"/>
    <cellStyle name="GreyOrWhite" xfId="573" xr:uid="{00000000-0005-0000-0000-0000C1020000}"/>
    <cellStyle name="GreyOrWhite 2" xfId="574" xr:uid="{00000000-0005-0000-0000-0000C2020000}"/>
    <cellStyle name="Heading 1" xfId="575" xr:uid="{00000000-0005-0000-0000-0000C3020000}"/>
    <cellStyle name="Heading 1 2" xfId="576" xr:uid="{00000000-0005-0000-0000-0000C4020000}"/>
    <cellStyle name="Heading 1 3" xfId="577" xr:uid="{00000000-0005-0000-0000-0000C5020000}"/>
    <cellStyle name="Heading 2" xfId="578" xr:uid="{00000000-0005-0000-0000-0000C6020000}"/>
    <cellStyle name="Heading 2 2" xfId="579" xr:uid="{00000000-0005-0000-0000-0000C7020000}"/>
    <cellStyle name="Heading 2 3" xfId="580" xr:uid="{00000000-0005-0000-0000-0000C8020000}"/>
    <cellStyle name="Heading 3" xfId="581" xr:uid="{00000000-0005-0000-0000-0000C9020000}"/>
    <cellStyle name="Heading 3 2" xfId="582" xr:uid="{00000000-0005-0000-0000-0000CA020000}"/>
    <cellStyle name="Heading 3 3" xfId="583" xr:uid="{00000000-0005-0000-0000-0000CB020000}"/>
    <cellStyle name="Heading 4" xfId="584" xr:uid="{00000000-0005-0000-0000-0000CC020000}"/>
    <cellStyle name="Heading 4 2" xfId="585" xr:uid="{00000000-0005-0000-0000-0000CD020000}"/>
    <cellStyle name="Heading 4 3" xfId="586" xr:uid="{00000000-0005-0000-0000-0000CE020000}"/>
    <cellStyle name="Input" xfId="587" xr:uid="{00000000-0005-0000-0000-0000CF020000}"/>
    <cellStyle name="Input [yellow]" xfId="588" xr:uid="{00000000-0005-0000-0000-0000D0020000}"/>
    <cellStyle name="Input [yellow] 2" xfId="589" xr:uid="{00000000-0005-0000-0000-0000D1020000}"/>
    <cellStyle name="Input [yellow] 2 2" xfId="590" xr:uid="{00000000-0005-0000-0000-0000D2020000}"/>
    <cellStyle name="Input [yellow] 2 2 10" xfId="591" xr:uid="{00000000-0005-0000-0000-0000D3020000}"/>
    <cellStyle name="Input [yellow] 2 2 10 2" xfId="2845" xr:uid="{00000000-0005-0000-0000-0000D4020000}"/>
    <cellStyle name="Input [yellow] 2 2 11" xfId="592" xr:uid="{00000000-0005-0000-0000-0000D5020000}"/>
    <cellStyle name="Input [yellow] 2 2 11 2" xfId="2846" xr:uid="{00000000-0005-0000-0000-0000D6020000}"/>
    <cellStyle name="Input [yellow] 2 2 12" xfId="593" xr:uid="{00000000-0005-0000-0000-0000D7020000}"/>
    <cellStyle name="Input [yellow] 2 2 12 2" xfId="2847" xr:uid="{00000000-0005-0000-0000-0000D8020000}"/>
    <cellStyle name="Input [yellow] 2 2 13" xfId="594" xr:uid="{00000000-0005-0000-0000-0000D9020000}"/>
    <cellStyle name="Input [yellow] 2 2 13 2" xfId="2848" xr:uid="{00000000-0005-0000-0000-0000DA020000}"/>
    <cellStyle name="Input [yellow] 2 2 14" xfId="2844" xr:uid="{00000000-0005-0000-0000-0000DB020000}"/>
    <cellStyle name="Input [yellow] 2 2 2" xfId="595" xr:uid="{00000000-0005-0000-0000-0000DC020000}"/>
    <cellStyle name="Input [yellow] 2 2 2 2" xfId="2849" xr:uid="{00000000-0005-0000-0000-0000DD020000}"/>
    <cellStyle name="Input [yellow] 2 2 3" xfId="596" xr:uid="{00000000-0005-0000-0000-0000DE020000}"/>
    <cellStyle name="Input [yellow] 2 2 3 2" xfId="2850" xr:uid="{00000000-0005-0000-0000-0000DF020000}"/>
    <cellStyle name="Input [yellow] 2 2 4" xfId="597" xr:uid="{00000000-0005-0000-0000-0000E0020000}"/>
    <cellStyle name="Input [yellow] 2 2 4 2" xfId="2851" xr:uid="{00000000-0005-0000-0000-0000E1020000}"/>
    <cellStyle name="Input [yellow] 2 2 5" xfId="598" xr:uid="{00000000-0005-0000-0000-0000E2020000}"/>
    <cellStyle name="Input [yellow] 2 2 5 2" xfId="2852" xr:uid="{00000000-0005-0000-0000-0000E3020000}"/>
    <cellStyle name="Input [yellow] 2 2 6" xfId="599" xr:uid="{00000000-0005-0000-0000-0000E4020000}"/>
    <cellStyle name="Input [yellow] 2 2 6 2" xfId="2853" xr:uid="{00000000-0005-0000-0000-0000E5020000}"/>
    <cellStyle name="Input [yellow] 2 2 7" xfId="600" xr:uid="{00000000-0005-0000-0000-0000E6020000}"/>
    <cellStyle name="Input [yellow] 2 2 7 2" xfId="2854" xr:uid="{00000000-0005-0000-0000-0000E7020000}"/>
    <cellStyle name="Input [yellow] 2 2 8" xfId="601" xr:uid="{00000000-0005-0000-0000-0000E8020000}"/>
    <cellStyle name="Input [yellow] 2 2 8 2" xfId="2855" xr:uid="{00000000-0005-0000-0000-0000E9020000}"/>
    <cellStyle name="Input [yellow] 2 2 9" xfId="602" xr:uid="{00000000-0005-0000-0000-0000EA020000}"/>
    <cellStyle name="Input [yellow] 2 2 9 2" xfId="2856" xr:uid="{00000000-0005-0000-0000-0000EB020000}"/>
    <cellStyle name="Input [yellow] 2 3" xfId="603" xr:uid="{00000000-0005-0000-0000-0000EC020000}"/>
    <cellStyle name="Input [yellow] 2 3 10" xfId="604" xr:uid="{00000000-0005-0000-0000-0000ED020000}"/>
    <cellStyle name="Input [yellow] 2 3 10 2" xfId="2858" xr:uid="{00000000-0005-0000-0000-0000EE020000}"/>
    <cellStyle name="Input [yellow] 2 3 11" xfId="605" xr:uid="{00000000-0005-0000-0000-0000EF020000}"/>
    <cellStyle name="Input [yellow] 2 3 11 2" xfId="2859" xr:uid="{00000000-0005-0000-0000-0000F0020000}"/>
    <cellStyle name="Input [yellow] 2 3 12" xfId="606" xr:uid="{00000000-0005-0000-0000-0000F1020000}"/>
    <cellStyle name="Input [yellow] 2 3 12 2" xfId="2860" xr:uid="{00000000-0005-0000-0000-0000F2020000}"/>
    <cellStyle name="Input [yellow] 2 3 13" xfId="607" xr:uid="{00000000-0005-0000-0000-0000F3020000}"/>
    <cellStyle name="Input [yellow] 2 3 13 2" xfId="2861" xr:uid="{00000000-0005-0000-0000-0000F4020000}"/>
    <cellStyle name="Input [yellow] 2 3 14" xfId="2857" xr:uid="{00000000-0005-0000-0000-0000F5020000}"/>
    <cellStyle name="Input [yellow] 2 3 2" xfId="608" xr:uid="{00000000-0005-0000-0000-0000F6020000}"/>
    <cellStyle name="Input [yellow] 2 3 2 2" xfId="2862" xr:uid="{00000000-0005-0000-0000-0000F7020000}"/>
    <cellStyle name="Input [yellow] 2 3 3" xfId="609" xr:uid="{00000000-0005-0000-0000-0000F8020000}"/>
    <cellStyle name="Input [yellow] 2 3 3 2" xfId="2863" xr:uid="{00000000-0005-0000-0000-0000F9020000}"/>
    <cellStyle name="Input [yellow] 2 3 4" xfId="610" xr:uid="{00000000-0005-0000-0000-0000FA020000}"/>
    <cellStyle name="Input [yellow] 2 3 4 2" xfId="2864" xr:uid="{00000000-0005-0000-0000-0000FB020000}"/>
    <cellStyle name="Input [yellow] 2 3 5" xfId="611" xr:uid="{00000000-0005-0000-0000-0000FC020000}"/>
    <cellStyle name="Input [yellow] 2 3 5 2" xfId="2865" xr:uid="{00000000-0005-0000-0000-0000FD020000}"/>
    <cellStyle name="Input [yellow] 2 3 6" xfId="612" xr:uid="{00000000-0005-0000-0000-0000FE020000}"/>
    <cellStyle name="Input [yellow] 2 3 6 2" xfId="2866" xr:uid="{00000000-0005-0000-0000-0000FF020000}"/>
    <cellStyle name="Input [yellow] 2 3 7" xfId="613" xr:uid="{00000000-0005-0000-0000-000000030000}"/>
    <cellStyle name="Input [yellow] 2 3 7 2" xfId="2867" xr:uid="{00000000-0005-0000-0000-000001030000}"/>
    <cellStyle name="Input [yellow] 2 3 8" xfId="614" xr:uid="{00000000-0005-0000-0000-000002030000}"/>
    <cellStyle name="Input [yellow] 2 3 8 2" xfId="2868" xr:uid="{00000000-0005-0000-0000-000003030000}"/>
    <cellStyle name="Input [yellow] 2 3 9" xfId="615" xr:uid="{00000000-0005-0000-0000-000004030000}"/>
    <cellStyle name="Input [yellow] 2 3 9 2" xfId="2869" xr:uid="{00000000-0005-0000-0000-000005030000}"/>
    <cellStyle name="Input [yellow] 2 4" xfId="2843" xr:uid="{00000000-0005-0000-0000-000006030000}"/>
    <cellStyle name="Input 10" xfId="616" xr:uid="{00000000-0005-0000-0000-000007030000}"/>
    <cellStyle name="Input 10 2" xfId="2870" xr:uid="{00000000-0005-0000-0000-000008030000}"/>
    <cellStyle name="Input 11" xfId="617" xr:uid="{00000000-0005-0000-0000-000009030000}"/>
    <cellStyle name="Input 11 2" xfId="2871" xr:uid="{00000000-0005-0000-0000-00000A030000}"/>
    <cellStyle name="Input 12" xfId="618" xr:uid="{00000000-0005-0000-0000-00000B030000}"/>
    <cellStyle name="Input 12 2" xfId="2872" xr:uid="{00000000-0005-0000-0000-00000C030000}"/>
    <cellStyle name="Input 13" xfId="619" xr:uid="{00000000-0005-0000-0000-00000D030000}"/>
    <cellStyle name="Input 13 2" xfId="2873" xr:uid="{00000000-0005-0000-0000-00000E030000}"/>
    <cellStyle name="Input 14" xfId="620" xr:uid="{00000000-0005-0000-0000-00000F030000}"/>
    <cellStyle name="Input 14 2" xfId="2874" xr:uid="{00000000-0005-0000-0000-000010030000}"/>
    <cellStyle name="Input 15" xfId="621" xr:uid="{00000000-0005-0000-0000-000011030000}"/>
    <cellStyle name="Input 15 2" xfId="2875" xr:uid="{00000000-0005-0000-0000-000012030000}"/>
    <cellStyle name="Input 16" xfId="622" xr:uid="{00000000-0005-0000-0000-000013030000}"/>
    <cellStyle name="Input 16 2" xfId="2876" xr:uid="{00000000-0005-0000-0000-000014030000}"/>
    <cellStyle name="Input 17" xfId="623" xr:uid="{00000000-0005-0000-0000-000015030000}"/>
    <cellStyle name="Input 17 2" xfId="2877" xr:uid="{00000000-0005-0000-0000-000016030000}"/>
    <cellStyle name="Input 18" xfId="624" xr:uid="{00000000-0005-0000-0000-000017030000}"/>
    <cellStyle name="Input 18 2" xfId="2878" xr:uid="{00000000-0005-0000-0000-000018030000}"/>
    <cellStyle name="Input 19" xfId="2842" xr:uid="{00000000-0005-0000-0000-000019030000}"/>
    <cellStyle name="Input 2" xfId="625" xr:uid="{00000000-0005-0000-0000-00001A030000}"/>
    <cellStyle name="Input 2 2" xfId="626" xr:uid="{00000000-0005-0000-0000-00001B030000}"/>
    <cellStyle name="Input 2 2 10" xfId="627" xr:uid="{00000000-0005-0000-0000-00001C030000}"/>
    <cellStyle name="Input 2 2 10 2" xfId="2881" xr:uid="{00000000-0005-0000-0000-00001D030000}"/>
    <cellStyle name="Input 2 2 11" xfId="628" xr:uid="{00000000-0005-0000-0000-00001E030000}"/>
    <cellStyle name="Input 2 2 11 2" xfId="2882" xr:uid="{00000000-0005-0000-0000-00001F030000}"/>
    <cellStyle name="Input 2 2 12" xfId="629" xr:uid="{00000000-0005-0000-0000-000020030000}"/>
    <cellStyle name="Input 2 2 12 2" xfId="2883" xr:uid="{00000000-0005-0000-0000-000021030000}"/>
    <cellStyle name="Input 2 2 13" xfId="630" xr:uid="{00000000-0005-0000-0000-000022030000}"/>
    <cellStyle name="Input 2 2 13 2" xfId="2884" xr:uid="{00000000-0005-0000-0000-000023030000}"/>
    <cellStyle name="Input 2 2 14" xfId="2880" xr:uid="{00000000-0005-0000-0000-000024030000}"/>
    <cellStyle name="Input 2 2 2" xfId="631" xr:uid="{00000000-0005-0000-0000-000025030000}"/>
    <cellStyle name="Input 2 2 2 2" xfId="2885" xr:uid="{00000000-0005-0000-0000-000026030000}"/>
    <cellStyle name="Input 2 2 3" xfId="632" xr:uid="{00000000-0005-0000-0000-000027030000}"/>
    <cellStyle name="Input 2 2 3 2" xfId="2886" xr:uid="{00000000-0005-0000-0000-000028030000}"/>
    <cellStyle name="Input 2 2 4" xfId="633" xr:uid="{00000000-0005-0000-0000-000029030000}"/>
    <cellStyle name="Input 2 2 4 2" xfId="2887" xr:uid="{00000000-0005-0000-0000-00002A030000}"/>
    <cellStyle name="Input 2 2 5" xfId="634" xr:uid="{00000000-0005-0000-0000-00002B030000}"/>
    <cellStyle name="Input 2 2 5 2" xfId="2888" xr:uid="{00000000-0005-0000-0000-00002C030000}"/>
    <cellStyle name="Input 2 2 6" xfId="635" xr:uid="{00000000-0005-0000-0000-00002D030000}"/>
    <cellStyle name="Input 2 2 6 2" xfId="2889" xr:uid="{00000000-0005-0000-0000-00002E030000}"/>
    <cellStyle name="Input 2 2 7" xfId="636" xr:uid="{00000000-0005-0000-0000-00002F030000}"/>
    <cellStyle name="Input 2 2 7 2" xfId="2890" xr:uid="{00000000-0005-0000-0000-000030030000}"/>
    <cellStyle name="Input 2 2 8" xfId="637" xr:uid="{00000000-0005-0000-0000-000031030000}"/>
    <cellStyle name="Input 2 2 8 2" xfId="2891" xr:uid="{00000000-0005-0000-0000-000032030000}"/>
    <cellStyle name="Input 2 2 9" xfId="638" xr:uid="{00000000-0005-0000-0000-000033030000}"/>
    <cellStyle name="Input 2 2 9 2" xfId="2892" xr:uid="{00000000-0005-0000-0000-000034030000}"/>
    <cellStyle name="Input 2 3" xfId="639" xr:uid="{00000000-0005-0000-0000-000035030000}"/>
    <cellStyle name="Input 2 3 10" xfId="640" xr:uid="{00000000-0005-0000-0000-000036030000}"/>
    <cellStyle name="Input 2 3 10 2" xfId="2894" xr:uid="{00000000-0005-0000-0000-000037030000}"/>
    <cellStyle name="Input 2 3 11" xfId="641" xr:uid="{00000000-0005-0000-0000-000038030000}"/>
    <cellStyle name="Input 2 3 11 2" xfId="2895" xr:uid="{00000000-0005-0000-0000-000039030000}"/>
    <cellStyle name="Input 2 3 12" xfId="642" xr:uid="{00000000-0005-0000-0000-00003A030000}"/>
    <cellStyle name="Input 2 3 12 2" xfId="2896" xr:uid="{00000000-0005-0000-0000-00003B030000}"/>
    <cellStyle name="Input 2 3 13" xfId="643" xr:uid="{00000000-0005-0000-0000-00003C030000}"/>
    <cellStyle name="Input 2 3 13 2" xfId="2897" xr:uid="{00000000-0005-0000-0000-00003D030000}"/>
    <cellStyle name="Input 2 3 14" xfId="2893" xr:uid="{00000000-0005-0000-0000-00003E030000}"/>
    <cellStyle name="Input 2 3 2" xfId="644" xr:uid="{00000000-0005-0000-0000-00003F030000}"/>
    <cellStyle name="Input 2 3 2 2" xfId="2898" xr:uid="{00000000-0005-0000-0000-000040030000}"/>
    <cellStyle name="Input 2 3 3" xfId="645" xr:uid="{00000000-0005-0000-0000-000041030000}"/>
    <cellStyle name="Input 2 3 3 2" xfId="2899" xr:uid="{00000000-0005-0000-0000-000042030000}"/>
    <cellStyle name="Input 2 3 4" xfId="646" xr:uid="{00000000-0005-0000-0000-000043030000}"/>
    <cellStyle name="Input 2 3 4 2" xfId="2900" xr:uid="{00000000-0005-0000-0000-000044030000}"/>
    <cellStyle name="Input 2 3 5" xfId="647" xr:uid="{00000000-0005-0000-0000-000045030000}"/>
    <cellStyle name="Input 2 3 5 2" xfId="2901" xr:uid="{00000000-0005-0000-0000-000046030000}"/>
    <cellStyle name="Input 2 3 6" xfId="648" xr:uid="{00000000-0005-0000-0000-000047030000}"/>
    <cellStyle name="Input 2 3 6 2" xfId="2902" xr:uid="{00000000-0005-0000-0000-000048030000}"/>
    <cellStyle name="Input 2 3 7" xfId="649" xr:uid="{00000000-0005-0000-0000-000049030000}"/>
    <cellStyle name="Input 2 3 7 2" xfId="2903" xr:uid="{00000000-0005-0000-0000-00004A030000}"/>
    <cellStyle name="Input 2 3 8" xfId="650" xr:uid="{00000000-0005-0000-0000-00004B030000}"/>
    <cellStyle name="Input 2 3 8 2" xfId="2904" xr:uid="{00000000-0005-0000-0000-00004C030000}"/>
    <cellStyle name="Input 2 3 9" xfId="651" xr:uid="{00000000-0005-0000-0000-00004D030000}"/>
    <cellStyle name="Input 2 3 9 2" xfId="2905" xr:uid="{00000000-0005-0000-0000-00004E030000}"/>
    <cellStyle name="Input 2 4" xfId="2879" xr:uid="{00000000-0005-0000-0000-00004F030000}"/>
    <cellStyle name="Input 3" xfId="652" xr:uid="{00000000-0005-0000-0000-000050030000}"/>
    <cellStyle name="Input 3 2" xfId="653" xr:uid="{00000000-0005-0000-0000-000051030000}"/>
    <cellStyle name="Input 3 2 10" xfId="654" xr:uid="{00000000-0005-0000-0000-000052030000}"/>
    <cellStyle name="Input 3 2 10 2" xfId="2908" xr:uid="{00000000-0005-0000-0000-000053030000}"/>
    <cellStyle name="Input 3 2 11" xfId="655" xr:uid="{00000000-0005-0000-0000-000054030000}"/>
    <cellStyle name="Input 3 2 11 2" xfId="2909" xr:uid="{00000000-0005-0000-0000-000055030000}"/>
    <cellStyle name="Input 3 2 12" xfId="656" xr:uid="{00000000-0005-0000-0000-000056030000}"/>
    <cellStyle name="Input 3 2 12 2" xfId="2910" xr:uid="{00000000-0005-0000-0000-000057030000}"/>
    <cellStyle name="Input 3 2 13" xfId="657" xr:uid="{00000000-0005-0000-0000-000058030000}"/>
    <cellStyle name="Input 3 2 13 2" xfId="2911" xr:uid="{00000000-0005-0000-0000-000059030000}"/>
    <cellStyle name="Input 3 2 14" xfId="2907" xr:uid="{00000000-0005-0000-0000-00005A030000}"/>
    <cellStyle name="Input 3 2 2" xfId="658" xr:uid="{00000000-0005-0000-0000-00005B030000}"/>
    <cellStyle name="Input 3 2 2 2" xfId="2912" xr:uid="{00000000-0005-0000-0000-00005C030000}"/>
    <cellStyle name="Input 3 2 3" xfId="659" xr:uid="{00000000-0005-0000-0000-00005D030000}"/>
    <cellStyle name="Input 3 2 3 2" xfId="2913" xr:uid="{00000000-0005-0000-0000-00005E030000}"/>
    <cellStyle name="Input 3 2 4" xfId="660" xr:uid="{00000000-0005-0000-0000-00005F030000}"/>
    <cellStyle name="Input 3 2 4 2" xfId="2914" xr:uid="{00000000-0005-0000-0000-000060030000}"/>
    <cellStyle name="Input 3 2 5" xfId="661" xr:uid="{00000000-0005-0000-0000-000061030000}"/>
    <cellStyle name="Input 3 2 5 2" xfId="2915" xr:uid="{00000000-0005-0000-0000-000062030000}"/>
    <cellStyle name="Input 3 2 6" xfId="662" xr:uid="{00000000-0005-0000-0000-000063030000}"/>
    <cellStyle name="Input 3 2 6 2" xfId="2916" xr:uid="{00000000-0005-0000-0000-000064030000}"/>
    <cellStyle name="Input 3 2 7" xfId="663" xr:uid="{00000000-0005-0000-0000-000065030000}"/>
    <cellStyle name="Input 3 2 7 2" xfId="2917" xr:uid="{00000000-0005-0000-0000-000066030000}"/>
    <cellStyle name="Input 3 2 8" xfId="664" xr:uid="{00000000-0005-0000-0000-000067030000}"/>
    <cellStyle name="Input 3 2 8 2" xfId="2918" xr:uid="{00000000-0005-0000-0000-000068030000}"/>
    <cellStyle name="Input 3 2 9" xfId="665" xr:uid="{00000000-0005-0000-0000-000069030000}"/>
    <cellStyle name="Input 3 2 9 2" xfId="2919" xr:uid="{00000000-0005-0000-0000-00006A030000}"/>
    <cellStyle name="Input 3 3" xfId="666" xr:uid="{00000000-0005-0000-0000-00006B030000}"/>
    <cellStyle name="Input 3 3 10" xfId="667" xr:uid="{00000000-0005-0000-0000-00006C030000}"/>
    <cellStyle name="Input 3 3 10 2" xfId="2921" xr:uid="{00000000-0005-0000-0000-00006D030000}"/>
    <cellStyle name="Input 3 3 11" xfId="668" xr:uid="{00000000-0005-0000-0000-00006E030000}"/>
    <cellStyle name="Input 3 3 11 2" xfId="2922" xr:uid="{00000000-0005-0000-0000-00006F030000}"/>
    <cellStyle name="Input 3 3 12" xfId="669" xr:uid="{00000000-0005-0000-0000-000070030000}"/>
    <cellStyle name="Input 3 3 12 2" xfId="2923" xr:uid="{00000000-0005-0000-0000-000071030000}"/>
    <cellStyle name="Input 3 3 13" xfId="670" xr:uid="{00000000-0005-0000-0000-000072030000}"/>
    <cellStyle name="Input 3 3 13 2" xfId="2924" xr:uid="{00000000-0005-0000-0000-000073030000}"/>
    <cellStyle name="Input 3 3 14" xfId="2920" xr:uid="{00000000-0005-0000-0000-000074030000}"/>
    <cellStyle name="Input 3 3 2" xfId="671" xr:uid="{00000000-0005-0000-0000-000075030000}"/>
    <cellStyle name="Input 3 3 2 2" xfId="2925" xr:uid="{00000000-0005-0000-0000-000076030000}"/>
    <cellStyle name="Input 3 3 3" xfId="672" xr:uid="{00000000-0005-0000-0000-000077030000}"/>
    <cellStyle name="Input 3 3 3 2" xfId="2926" xr:uid="{00000000-0005-0000-0000-000078030000}"/>
    <cellStyle name="Input 3 3 4" xfId="673" xr:uid="{00000000-0005-0000-0000-000079030000}"/>
    <cellStyle name="Input 3 3 4 2" xfId="2927" xr:uid="{00000000-0005-0000-0000-00007A030000}"/>
    <cellStyle name="Input 3 3 5" xfId="674" xr:uid="{00000000-0005-0000-0000-00007B030000}"/>
    <cellStyle name="Input 3 3 5 2" xfId="2928" xr:uid="{00000000-0005-0000-0000-00007C030000}"/>
    <cellStyle name="Input 3 3 6" xfId="675" xr:uid="{00000000-0005-0000-0000-00007D030000}"/>
    <cellStyle name="Input 3 3 6 2" xfId="2929" xr:uid="{00000000-0005-0000-0000-00007E030000}"/>
    <cellStyle name="Input 3 3 7" xfId="676" xr:uid="{00000000-0005-0000-0000-00007F030000}"/>
    <cellStyle name="Input 3 3 7 2" xfId="2930" xr:uid="{00000000-0005-0000-0000-000080030000}"/>
    <cellStyle name="Input 3 3 8" xfId="677" xr:uid="{00000000-0005-0000-0000-000081030000}"/>
    <cellStyle name="Input 3 3 8 2" xfId="2931" xr:uid="{00000000-0005-0000-0000-000082030000}"/>
    <cellStyle name="Input 3 3 9" xfId="678" xr:uid="{00000000-0005-0000-0000-000083030000}"/>
    <cellStyle name="Input 3 3 9 2" xfId="2932" xr:uid="{00000000-0005-0000-0000-000084030000}"/>
    <cellStyle name="Input 3 4" xfId="2906" xr:uid="{00000000-0005-0000-0000-000085030000}"/>
    <cellStyle name="Input 4" xfId="679" xr:uid="{00000000-0005-0000-0000-000086030000}"/>
    <cellStyle name="Input 4 2" xfId="680" xr:uid="{00000000-0005-0000-0000-000087030000}"/>
    <cellStyle name="Input 4 2 10" xfId="681" xr:uid="{00000000-0005-0000-0000-000088030000}"/>
    <cellStyle name="Input 4 2 10 2" xfId="2935" xr:uid="{00000000-0005-0000-0000-000089030000}"/>
    <cellStyle name="Input 4 2 11" xfId="682" xr:uid="{00000000-0005-0000-0000-00008A030000}"/>
    <cellStyle name="Input 4 2 11 2" xfId="2936" xr:uid="{00000000-0005-0000-0000-00008B030000}"/>
    <cellStyle name="Input 4 2 12" xfId="683" xr:uid="{00000000-0005-0000-0000-00008C030000}"/>
    <cellStyle name="Input 4 2 12 2" xfId="2937" xr:uid="{00000000-0005-0000-0000-00008D030000}"/>
    <cellStyle name="Input 4 2 13" xfId="684" xr:uid="{00000000-0005-0000-0000-00008E030000}"/>
    <cellStyle name="Input 4 2 13 2" xfId="2938" xr:uid="{00000000-0005-0000-0000-00008F030000}"/>
    <cellStyle name="Input 4 2 14" xfId="2934" xr:uid="{00000000-0005-0000-0000-000090030000}"/>
    <cellStyle name="Input 4 2 2" xfId="685" xr:uid="{00000000-0005-0000-0000-000091030000}"/>
    <cellStyle name="Input 4 2 2 2" xfId="2939" xr:uid="{00000000-0005-0000-0000-000092030000}"/>
    <cellStyle name="Input 4 2 3" xfId="686" xr:uid="{00000000-0005-0000-0000-000093030000}"/>
    <cellStyle name="Input 4 2 3 2" xfId="2940" xr:uid="{00000000-0005-0000-0000-000094030000}"/>
    <cellStyle name="Input 4 2 4" xfId="687" xr:uid="{00000000-0005-0000-0000-000095030000}"/>
    <cellStyle name="Input 4 2 4 2" xfId="2941" xr:uid="{00000000-0005-0000-0000-000096030000}"/>
    <cellStyle name="Input 4 2 5" xfId="688" xr:uid="{00000000-0005-0000-0000-000097030000}"/>
    <cellStyle name="Input 4 2 5 2" xfId="2942" xr:uid="{00000000-0005-0000-0000-000098030000}"/>
    <cellStyle name="Input 4 2 6" xfId="689" xr:uid="{00000000-0005-0000-0000-000099030000}"/>
    <cellStyle name="Input 4 2 6 2" xfId="2943" xr:uid="{00000000-0005-0000-0000-00009A030000}"/>
    <cellStyle name="Input 4 2 7" xfId="690" xr:uid="{00000000-0005-0000-0000-00009B030000}"/>
    <cellStyle name="Input 4 2 7 2" xfId="2944" xr:uid="{00000000-0005-0000-0000-00009C030000}"/>
    <cellStyle name="Input 4 2 8" xfId="691" xr:uid="{00000000-0005-0000-0000-00009D030000}"/>
    <cellStyle name="Input 4 2 8 2" xfId="2945" xr:uid="{00000000-0005-0000-0000-00009E030000}"/>
    <cellStyle name="Input 4 2 9" xfId="692" xr:uid="{00000000-0005-0000-0000-00009F030000}"/>
    <cellStyle name="Input 4 2 9 2" xfId="2946" xr:uid="{00000000-0005-0000-0000-0000A0030000}"/>
    <cellStyle name="Input 4 3" xfId="693" xr:uid="{00000000-0005-0000-0000-0000A1030000}"/>
    <cellStyle name="Input 4 3 10" xfId="694" xr:uid="{00000000-0005-0000-0000-0000A2030000}"/>
    <cellStyle name="Input 4 3 10 2" xfId="2948" xr:uid="{00000000-0005-0000-0000-0000A3030000}"/>
    <cellStyle name="Input 4 3 11" xfId="695" xr:uid="{00000000-0005-0000-0000-0000A4030000}"/>
    <cellStyle name="Input 4 3 11 2" xfId="2949" xr:uid="{00000000-0005-0000-0000-0000A5030000}"/>
    <cellStyle name="Input 4 3 12" xfId="696" xr:uid="{00000000-0005-0000-0000-0000A6030000}"/>
    <cellStyle name="Input 4 3 12 2" xfId="2950" xr:uid="{00000000-0005-0000-0000-0000A7030000}"/>
    <cellStyle name="Input 4 3 13" xfId="697" xr:uid="{00000000-0005-0000-0000-0000A8030000}"/>
    <cellStyle name="Input 4 3 13 2" xfId="2951" xr:uid="{00000000-0005-0000-0000-0000A9030000}"/>
    <cellStyle name="Input 4 3 14" xfId="2947" xr:uid="{00000000-0005-0000-0000-0000AA030000}"/>
    <cellStyle name="Input 4 3 2" xfId="698" xr:uid="{00000000-0005-0000-0000-0000AB030000}"/>
    <cellStyle name="Input 4 3 2 2" xfId="2952" xr:uid="{00000000-0005-0000-0000-0000AC030000}"/>
    <cellStyle name="Input 4 3 3" xfId="699" xr:uid="{00000000-0005-0000-0000-0000AD030000}"/>
    <cellStyle name="Input 4 3 3 2" xfId="2953" xr:uid="{00000000-0005-0000-0000-0000AE030000}"/>
    <cellStyle name="Input 4 3 4" xfId="700" xr:uid="{00000000-0005-0000-0000-0000AF030000}"/>
    <cellStyle name="Input 4 3 4 2" xfId="2954" xr:uid="{00000000-0005-0000-0000-0000B0030000}"/>
    <cellStyle name="Input 4 3 5" xfId="701" xr:uid="{00000000-0005-0000-0000-0000B1030000}"/>
    <cellStyle name="Input 4 3 5 2" xfId="2955" xr:uid="{00000000-0005-0000-0000-0000B2030000}"/>
    <cellStyle name="Input 4 3 6" xfId="702" xr:uid="{00000000-0005-0000-0000-0000B3030000}"/>
    <cellStyle name="Input 4 3 6 2" xfId="2956" xr:uid="{00000000-0005-0000-0000-0000B4030000}"/>
    <cellStyle name="Input 4 3 7" xfId="703" xr:uid="{00000000-0005-0000-0000-0000B5030000}"/>
    <cellStyle name="Input 4 3 7 2" xfId="2957" xr:uid="{00000000-0005-0000-0000-0000B6030000}"/>
    <cellStyle name="Input 4 3 8" xfId="704" xr:uid="{00000000-0005-0000-0000-0000B7030000}"/>
    <cellStyle name="Input 4 3 8 2" xfId="2958" xr:uid="{00000000-0005-0000-0000-0000B8030000}"/>
    <cellStyle name="Input 4 3 9" xfId="705" xr:uid="{00000000-0005-0000-0000-0000B9030000}"/>
    <cellStyle name="Input 4 3 9 2" xfId="2959" xr:uid="{00000000-0005-0000-0000-0000BA030000}"/>
    <cellStyle name="Input 4 4" xfId="2933" xr:uid="{00000000-0005-0000-0000-0000BB030000}"/>
    <cellStyle name="Input 5" xfId="706" xr:uid="{00000000-0005-0000-0000-0000BC030000}"/>
    <cellStyle name="Input 5 10" xfId="707" xr:uid="{00000000-0005-0000-0000-0000BD030000}"/>
    <cellStyle name="Input 5 10 2" xfId="2961" xr:uid="{00000000-0005-0000-0000-0000BE030000}"/>
    <cellStyle name="Input 5 11" xfId="708" xr:uid="{00000000-0005-0000-0000-0000BF030000}"/>
    <cellStyle name="Input 5 11 2" xfId="2962" xr:uid="{00000000-0005-0000-0000-0000C0030000}"/>
    <cellStyle name="Input 5 12" xfId="709" xr:uid="{00000000-0005-0000-0000-0000C1030000}"/>
    <cellStyle name="Input 5 12 2" xfId="2963" xr:uid="{00000000-0005-0000-0000-0000C2030000}"/>
    <cellStyle name="Input 5 13" xfId="710" xr:uid="{00000000-0005-0000-0000-0000C3030000}"/>
    <cellStyle name="Input 5 13 2" xfId="2964" xr:uid="{00000000-0005-0000-0000-0000C4030000}"/>
    <cellStyle name="Input 5 14" xfId="2960" xr:uid="{00000000-0005-0000-0000-0000C5030000}"/>
    <cellStyle name="Input 5 2" xfId="711" xr:uid="{00000000-0005-0000-0000-0000C6030000}"/>
    <cellStyle name="Input 5 2 2" xfId="2965" xr:uid="{00000000-0005-0000-0000-0000C7030000}"/>
    <cellStyle name="Input 5 3" xfId="712" xr:uid="{00000000-0005-0000-0000-0000C8030000}"/>
    <cellStyle name="Input 5 3 2" xfId="2966" xr:uid="{00000000-0005-0000-0000-0000C9030000}"/>
    <cellStyle name="Input 5 4" xfId="713" xr:uid="{00000000-0005-0000-0000-0000CA030000}"/>
    <cellStyle name="Input 5 4 2" xfId="2967" xr:uid="{00000000-0005-0000-0000-0000CB030000}"/>
    <cellStyle name="Input 5 5" xfId="714" xr:uid="{00000000-0005-0000-0000-0000CC030000}"/>
    <cellStyle name="Input 5 5 2" xfId="2968" xr:uid="{00000000-0005-0000-0000-0000CD030000}"/>
    <cellStyle name="Input 5 6" xfId="715" xr:uid="{00000000-0005-0000-0000-0000CE030000}"/>
    <cellStyle name="Input 5 6 2" xfId="2969" xr:uid="{00000000-0005-0000-0000-0000CF030000}"/>
    <cellStyle name="Input 5 7" xfId="716" xr:uid="{00000000-0005-0000-0000-0000D0030000}"/>
    <cellStyle name="Input 5 7 2" xfId="2970" xr:uid="{00000000-0005-0000-0000-0000D1030000}"/>
    <cellStyle name="Input 5 8" xfId="717" xr:uid="{00000000-0005-0000-0000-0000D2030000}"/>
    <cellStyle name="Input 5 8 2" xfId="2971" xr:uid="{00000000-0005-0000-0000-0000D3030000}"/>
    <cellStyle name="Input 5 9" xfId="718" xr:uid="{00000000-0005-0000-0000-0000D4030000}"/>
    <cellStyle name="Input 5 9 2" xfId="2972" xr:uid="{00000000-0005-0000-0000-0000D5030000}"/>
    <cellStyle name="Input 6" xfId="719" xr:uid="{00000000-0005-0000-0000-0000D6030000}"/>
    <cellStyle name="Input 6 10" xfId="720" xr:uid="{00000000-0005-0000-0000-0000D7030000}"/>
    <cellStyle name="Input 6 10 2" xfId="2974" xr:uid="{00000000-0005-0000-0000-0000D8030000}"/>
    <cellStyle name="Input 6 11" xfId="721" xr:uid="{00000000-0005-0000-0000-0000D9030000}"/>
    <cellStyle name="Input 6 11 2" xfId="2975" xr:uid="{00000000-0005-0000-0000-0000DA030000}"/>
    <cellStyle name="Input 6 12" xfId="722" xr:uid="{00000000-0005-0000-0000-0000DB030000}"/>
    <cellStyle name="Input 6 12 2" xfId="2976" xr:uid="{00000000-0005-0000-0000-0000DC030000}"/>
    <cellStyle name="Input 6 13" xfId="723" xr:uid="{00000000-0005-0000-0000-0000DD030000}"/>
    <cellStyle name="Input 6 13 2" xfId="2977" xr:uid="{00000000-0005-0000-0000-0000DE030000}"/>
    <cellStyle name="Input 6 14" xfId="2973" xr:uid="{00000000-0005-0000-0000-0000DF030000}"/>
    <cellStyle name="Input 6 2" xfId="724" xr:uid="{00000000-0005-0000-0000-0000E0030000}"/>
    <cellStyle name="Input 6 2 2" xfId="2978" xr:uid="{00000000-0005-0000-0000-0000E1030000}"/>
    <cellStyle name="Input 6 3" xfId="725" xr:uid="{00000000-0005-0000-0000-0000E2030000}"/>
    <cellStyle name="Input 6 3 2" xfId="2979" xr:uid="{00000000-0005-0000-0000-0000E3030000}"/>
    <cellStyle name="Input 6 4" xfId="726" xr:uid="{00000000-0005-0000-0000-0000E4030000}"/>
    <cellStyle name="Input 6 4 2" xfId="2980" xr:uid="{00000000-0005-0000-0000-0000E5030000}"/>
    <cellStyle name="Input 6 5" xfId="727" xr:uid="{00000000-0005-0000-0000-0000E6030000}"/>
    <cellStyle name="Input 6 5 2" xfId="2981" xr:uid="{00000000-0005-0000-0000-0000E7030000}"/>
    <cellStyle name="Input 6 6" xfId="728" xr:uid="{00000000-0005-0000-0000-0000E8030000}"/>
    <cellStyle name="Input 6 6 2" xfId="2982" xr:uid="{00000000-0005-0000-0000-0000E9030000}"/>
    <cellStyle name="Input 6 7" xfId="729" xr:uid="{00000000-0005-0000-0000-0000EA030000}"/>
    <cellStyle name="Input 6 7 2" xfId="2983" xr:uid="{00000000-0005-0000-0000-0000EB030000}"/>
    <cellStyle name="Input 6 8" xfId="730" xr:uid="{00000000-0005-0000-0000-0000EC030000}"/>
    <cellStyle name="Input 6 8 2" xfId="2984" xr:uid="{00000000-0005-0000-0000-0000ED030000}"/>
    <cellStyle name="Input 6 9" xfId="731" xr:uid="{00000000-0005-0000-0000-0000EE030000}"/>
    <cellStyle name="Input 6 9 2" xfId="2985" xr:uid="{00000000-0005-0000-0000-0000EF030000}"/>
    <cellStyle name="Input 7" xfId="732" xr:uid="{00000000-0005-0000-0000-0000F0030000}"/>
    <cellStyle name="Input 7 2" xfId="2986" xr:uid="{00000000-0005-0000-0000-0000F1030000}"/>
    <cellStyle name="Input 8" xfId="733" xr:uid="{00000000-0005-0000-0000-0000F2030000}"/>
    <cellStyle name="Input 8 2" xfId="2987" xr:uid="{00000000-0005-0000-0000-0000F3030000}"/>
    <cellStyle name="Input 9" xfId="734" xr:uid="{00000000-0005-0000-0000-0000F4030000}"/>
    <cellStyle name="Input 9 2" xfId="2988" xr:uid="{00000000-0005-0000-0000-0000F5030000}"/>
    <cellStyle name="Input_130116-Remeasurement Summary" xfId="735" xr:uid="{00000000-0005-0000-0000-0000F6030000}"/>
    <cellStyle name="Kg [1]" xfId="736" xr:uid="{00000000-0005-0000-0000-0000F7030000}"/>
    <cellStyle name="Kg [2]" xfId="737" xr:uid="{00000000-0005-0000-0000-0000F8030000}"/>
    <cellStyle name="Labels - Style3" xfId="738" xr:uid="{00000000-0005-0000-0000-0000F9030000}"/>
    <cellStyle name="Labels - Style3 2" xfId="739" xr:uid="{00000000-0005-0000-0000-0000FA030000}"/>
    <cellStyle name="Labels - Style3 2 10" xfId="740" xr:uid="{00000000-0005-0000-0000-0000FB030000}"/>
    <cellStyle name="Labels - Style3 2 10 2" xfId="2991" xr:uid="{00000000-0005-0000-0000-0000FC030000}"/>
    <cellStyle name="Labels - Style3 2 11" xfId="741" xr:uid="{00000000-0005-0000-0000-0000FD030000}"/>
    <cellStyle name="Labels - Style3 2 11 2" xfId="2992" xr:uid="{00000000-0005-0000-0000-0000FE030000}"/>
    <cellStyle name="Labels - Style3 2 12" xfId="742" xr:uid="{00000000-0005-0000-0000-0000FF030000}"/>
    <cellStyle name="Labels - Style3 2 12 2" xfId="2993" xr:uid="{00000000-0005-0000-0000-000000040000}"/>
    <cellStyle name="Labels - Style3 2 13" xfId="743" xr:uid="{00000000-0005-0000-0000-000001040000}"/>
    <cellStyle name="Labels - Style3 2 13 2" xfId="2994" xr:uid="{00000000-0005-0000-0000-000002040000}"/>
    <cellStyle name="Labels - Style3 2 14" xfId="744" xr:uid="{00000000-0005-0000-0000-000003040000}"/>
    <cellStyle name="Labels - Style3 2 14 2" xfId="2995" xr:uid="{00000000-0005-0000-0000-000004040000}"/>
    <cellStyle name="Labels - Style3 2 15" xfId="745" xr:uid="{00000000-0005-0000-0000-000005040000}"/>
    <cellStyle name="Labels - Style3 2 15 2" xfId="2996" xr:uid="{00000000-0005-0000-0000-000006040000}"/>
    <cellStyle name="Labels - Style3 2 16" xfId="746" xr:uid="{00000000-0005-0000-0000-000007040000}"/>
    <cellStyle name="Labels - Style3 2 16 2" xfId="2997" xr:uid="{00000000-0005-0000-0000-000008040000}"/>
    <cellStyle name="Labels - Style3 2 17" xfId="747" xr:uid="{00000000-0005-0000-0000-000009040000}"/>
    <cellStyle name="Labels - Style3 2 17 2" xfId="2998" xr:uid="{00000000-0005-0000-0000-00000A040000}"/>
    <cellStyle name="Labels - Style3 2 18" xfId="2990" xr:uid="{00000000-0005-0000-0000-00000B040000}"/>
    <cellStyle name="Labels - Style3 2 2" xfId="748" xr:uid="{00000000-0005-0000-0000-00000C040000}"/>
    <cellStyle name="Labels - Style3 2 2 10" xfId="749" xr:uid="{00000000-0005-0000-0000-00000D040000}"/>
    <cellStyle name="Labels - Style3 2 2 10 2" xfId="3000" xr:uid="{00000000-0005-0000-0000-00000E040000}"/>
    <cellStyle name="Labels - Style3 2 2 11" xfId="750" xr:uid="{00000000-0005-0000-0000-00000F040000}"/>
    <cellStyle name="Labels - Style3 2 2 11 2" xfId="3001" xr:uid="{00000000-0005-0000-0000-000010040000}"/>
    <cellStyle name="Labels - Style3 2 2 12" xfId="751" xr:uid="{00000000-0005-0000-0000-000011040000}"/>
    <cellStyle name="Labels - Style3 2 2 12 2" xfId="3002" xr:uid="{00000000-0005-0000-0000-000012040000}"/>
    <cellStyle name="Labels - Style3 2 2 13" xfId="752" xr:uid="{00000000-0005-0000-0000-000013040000}"/>
    <cellStyle name="Labels - Style3 2 2 13 2" xfId="3003" xr:uid="{00000000-0005-0000-0000-000014040000}"/>
    <cellStyle name="Labels - Style3 2 2 14" xfId="2999" xr:uid="{00000000-0005-0000-0000-000015040000}"/>
    <cellStyle name="Labels - Style3 2 2 2" xfId="753" xr:uid="{00000000-0005-0000-0000-000016040000}"/>
    <cellStyle name="Labels - Style3 2 2 2 2" xfId="3004" xr:uid="{00000000-0005-0000-0000-000017040000}"/>
    <cellStyle name="Labels - Style3 2 2 3" xfId="754" xr:uid="{00000000-0005-0000-0000-000018040000}"/>
    <cellStyle name="Labels - Style3 2 2 3 2" xfId="3005" xr:uid="{00000000-0005-0000-0000-000019040000}"/>
    <cellStyle name="Labels - Style3 2 2 4" xfId="755" xr:uid="{00000000-0005-0000-0000-00001A040000}"/>
    <cellStyle name="Labels - Style3 2 2 4 2" xfId="3006" xr:uid="{00000000-0005-0000-0000-00001B040000}"/>
    <cellStyle name="Labels - Style3 2 2 5" xfId="756" xr:uid="{00000000-0005-0000-0000-00001C040000}"/>
    <cellStyle name="Labels - Style3 2 2 5 2" xfId="3007" xr:uid="{00000000-0005-0000-0000-00001D040000}"/>
    <cellStyle name="Labels - Style3 2 2 6" xfId="757" xr:uid="{00000000-0005-0000-0000-00001E040000}"/>
    <cellStyle name="Labels - Style3 2 2 6 2" xfId="3008" xr:uid="{00000000-0005-0000-0000-00001F040000}"/>
    <cellStyle name="Labels - Style3 2 2 7" xfId="758" xr:uid="{00000000-0005-0000-0000-000020040000}"/>
    <cellStyle name="Labels - Style3 2 2 7 2" xfId="3009" xr:uid="{00000000-0005-0000-0000-000021040000}"/>
    <cellStyle name="Labels - Style3 2 2 8" xfId="759" xr:uid="{00000000-0005-0000-0000-000022040000}"/>
    <cellStyle name="Labels - Style3 2 2 8 2" xfId="3010" xr:uid="{00000000-0005-0000-0000-000023040000}"/>
    <cellStyle name="Labels - Style3 2 2 9" xfId="760" xr:uid="{00000000-0005-0000-0000-000024040000}"/>
    <cellStyle name="Labels - Style3 2 2 9 2" xfId="3011" xr:uid="{00000000-0005-0000-0000-000025040000}"/>
    <cellStyle name="Labels - Style3 2 3" xfId="761" xr:uid="{00000000-0005-0000-0000-000026040000}"/>
    <cellStyle name="Labels - Style3 2 3 10" xfId="762" xr:uid="{00000000-0005-0000-0000-000027040000}"/>
    <cellStyle name="Labels - Style3 2 3 10 2" xfId="3013" xr:uid="{00000000-0005-0000-0000-000028040000}"/>
    <cellStyle name="Labels - Style3 2 3 11" xfId="763" xr:uid="{00000000-0005-0000-0000-000029040000}"/>
    <cellStyle name="Labels - Style3 2 3 11 2" xfId="3014" xr:uid="{00000000-0005-0000-0000-00002A040000}"/>
    <cellStyle name="Labels - Style3 2 3 12" xfId="764" xr:uid="{00000000-0005-0000-0000-00002B040000}"/>
    <cellStyle name="Labels - Style3 2 3 12 2" xfId="3015" xr:uid="{00000000-0005-0000-0000-00002C040000}"/>
    <cellStyle name="Labels - Style3 2 3 13" xfId="765" xr:uid="{00000000-0005-0000-0000-00002D040000}"/>
    <cellStyle name="Labels - Style3 2 3 13 2" xfId="3016" xr:uid="{00000000-0005-0000-0000-00002E040000}"/>
    <cellStyle name="Labels - Style3 2 3 14" xfId="3012" xr:uid="{00000000-0005-0000-0000-00002F040000}"/>
    <cellStyle name="Labels - Style3 2 3 2" xfId="766" xr:uid="{00000000-0005-0000-0000-000030040000}"/>
    <cellStyle name="Labels - Style3 2 3 2 2" xfId="3017" xr:uid="{00000000-0005-0000-0000-000031040000}"/>
    <cellStyle name="Labels - Style3 2 3 3" xfId="767" xr:uid="{00000000-0005-0000-0000-000032040000}"/>
    <cellStyle name="Labels - Style3 2 3 3 2" xfId="3018" xr:uid="{00000000-0005-0000-0000-000033040000}"/>
    <cellStyle name="Labels - Style3 2 3 4" xfId="768" xr:uid="{00000000-0005-0000-0000-000034040000}"/>
    <cellStyle name="Labels - Style3 2 3 4 2" xfId="3019" xr:uid="{00000000-0005-0000-0000-000035040000}"/>
    <cellStyle name="Labels - Style3 2 3 5" xfId="769" xr:uid="{00000000-0005-0000-0000-000036040000}"/>
    <cellStyle name="Labels - Style3 2 3 5 2" xfId="3020" xr:uid="{00000000-0005-0000-0000-000037040000}"/>
    <cellStyle name="Labels - Style3 2 3 6" xfId="770" xr:uid="{00000000-0005-0000-0000-000038040000}"/>
    <cellStyle name="Labels - Style3 2 3 6 2" xfId="3021" xr:uid="{00000000-0005-0000-0000-000039040000}"/>
    <cellStyle name="Labels - Style3 2 3 7" xfId="771" xr:uid="{00000000-0005-0000-0000-00003A040000}"/>
    <cellStyle name="Labels - Style3 2 3 7 2" xfId="3022" xr:uid="{00000000-0005-0000-0000-00003B040000}"/>
    <cellStyle name="Labels - Style3 2 3 8" xfId="772" xr:uid="{00000000-0005-0000-0000-00003C040000}"/>
    <cellStyle name="Labels - Style3 2 3 8 2" xfId="3023" xr:uid="{00000000-0005-0000-0000-00003D040000}"/>
    <cellStyle name="Labels - Style3 2 3 9" xfId="773" xr:uid="{00000000-0005-0000-0000-00003E040000}"/>
    <cellStyle name="Labels - Style3 2 3 9 2" xfId="3024" xr:uid="{00000000-0005-0000-0000-00003F040000}"/>
    <cellStyle name="Labels - Style3 2 4" xfId="774" xr:uid="{00000000-0005-0000-0000-000040040000}"/>
    <cellStyle name="Labels - Style3 2 4 10" xfId="775" xr:uid="{00000000-0005-0000-0000-000041040000}"/>
    <cellStyle name="Labels - Style3 2 4 10 2" xfId="3026" xr:uid="{00000000-0005-0000-0000-000042040000}"/>
    <cellStyle name="Labels - Style3 2 4 11" xfId="776" xr:uid="{00000000-0005-0000-0000-000043040000}"/>
    <cellStyle name="Labels - Style3 2 4 11 2" xfId="3027" xr:uid="{00000000-0005-0000-0000-000044040000}"/>
    <cellStyle name="Labels - Style3 2 4 12" xfId="777" xr:uid="{00000000-0005-0000-0000-000045040000}"/>
    <cellStyle name="Labels - Style3 2 4 12 2" xfId="3028" xr:uid="{00000000-0005-0000-0000-000046040000}"/>
    <cellStyle name="Labels - Style3 2 4 13" xfId="778" xr:uid="{00000000-0005-0000-0000-000047040000}"/>
    <cellStyle name="Labels - Style3 2 4 13 2" xfId="3029" xr:uid="{00000000-0005-0000-0000-000048040000}"/>
    <cellStyle name="Labels - Style3 2 4 14" xfId="3025" xr:uid="{00000000-0005-0000-0000-000049040000}"/>
    <cellStyle name="Labels - Style3 2 4 2" xfId="779" xr:uid="{00000000-0005-0000-0000-00004A040000}"/>
    <cellStyle name="Labels - Style3 2 4 2 2" xfId="3030" xr:uid="{00000000-0005-0000-0000-00004B040000}"/>
    <cellStyle name="Labels - Style3 2 4 3" xfId="780" xr:uid="{00000000-0005-0000-0000-00004C040000}"/>
    <cellStyle name="Labels - Style3 2 4 3 2" xfId="3031" xr:uid="{00000000-0005-0000-0000-00004D040000}"/>
    <cellStyle name="Labels - Style3 2 4 4" xfId="781" xr:uid="{00000000-0005-0000-0000-00004E040000}"/>
    <cellStyle name="Labels - Style3 2 4 4 2" xfId="3032" xr:uid="{00000000-0005-0000-0000-00004F040000}"/>
    <cellStyle name="Labels - Style3 2 4 5" xfId="782" xr:uid="{00000000-0005-0000-0000-000050040000}"/>
    <cellStyle name="Labels - Style3 2 4 5 2" xfId="3033" xr:uid="{00000000-0005-0000-0000-000051040000}"/>
    <cellStyle name="Labels - Style3 2 4 6" xfId="783" xr:uid="{00000000-0005-0000-0000-000052040000}"/>
    <cellStyle name="Labels - Style3 2 4 6 2" xfId="3034" xr:uid="{00000000-0005-0000-0000-000053040000}"/>
    <cellStyle name="Labels - Style3 2 4 7" xfId="784" xr:uid="{00000000-0005-0000-0000-000054040000}"/>
    <cellStyle name="Labels - Style3 2 4 7 2" xfId="3035" xr:uid="{00000000-0005-0000-0000-000055040000}"/>
    <cellStyle name="Labels - Style3 2 4 8" xfId="785" xr:uid="{00000000-0005-0000-0000-000056040000}"/>
    <cellStyle name="Labels - Style3 2 4 8 2" xfId="3036" xr:uid="{00000000-0005-0000-0000-000057040000}"/>
    <cellStyle name="Labels - Style3 2 4 9" xfId="786" xr:uid="{00000000-0005-0000-0000-000058040000}"/>
    <cellStyle name="Labels - Style3 2 4 9 2" xfId="3037" xr:uid="{00000000-0005-0000-0000-000059040000}"/>
    <cellStyle name="Labels - Style3 2 5" xfId="787" xr:uid="{00000000-0005-0000-0000-00005A040000}"/>
    <cellStyle name="Labels - Style3 2 5 2" xfId="3038" xr:uid="{00000000-0005-0000-0000-00005B040000}"/>
    <cellStyle name="Labels - Style3 2 6" xfId="788" xr:uid="{00000000-0005-0000-0000-00005C040000}"/>
    <cellStyle name="Labels - Style3 2 6 2" xfId="3039" xr:uid="{00000000-0005-0000-0000-00005D040000}"/>
    <cellStyle name="Labels - Style3 2 7" xfId="789" xr:uid="{00000000-0005-0000-0000-00005E040000}"/>
    <cellStyle name="Labels - Style3 2 7 2" xfId="3040" xr:uid="{00000000-0005-0000-0000-00005F040000}"/>
    <cellStyle name="Labels - Style3 2 8" xfId="790" xr:uid="{00000000-0005-0000-0000-000060040000}"/>
    <cellStyle name="Labels - Style3 2 8 2" xfId="3041" xr:uid="{00000000-0005-0000-0000-000061040000}"/>
    <cellStyle name="Labels - Style3 2 9" xfId="791" xr:uid="{00000000-0005-0000-0000-000062040000}"/>
    <cellStyle name="Labels - Style3 2 9 2" xfId="3042" xr:uid="{00000000-0005-0000-0000-000063040000}"/>
    <cellStyle name="Labels - Style3 3" xfId="792" xr:uid="{00000000-0005-0000-0000-000064040000}"/>
    <cellStyle name="Labels - Style3 3 10" xfId="793" xr:uid="{00000000-0005-0000-0000-000065040000}"/>
    <cellStyle name="Labels - Style3 3 10 2" xfId="3044" xr:uid="{00000000-0005-0000-0000-000066040000}"/>
    <cellStyle name="Labels - Style3 3 11" xfId="794" xr:uid="{00000000-0005-0000-0000-000067040000}"/>
    <cellStyle name="Labels - Style3 3 11 2" xfId="3045" xr:uid="{00000000-0005-0000-0000-000068040000}"/>
    <cellStyle name="Labels - Style3 3 12" xfId="795" xr:uid="{00000000-0005-0000-0000-000069040000}"/>
    <cellStyle name="Labels - Style3 3 12 2" xfId="3046" xr:uid="{00000000-0005-0000-0000-00006A040000}"/>
    <cellStyle name="Labels - Style3 3 13" xfId="796" xr:uid="{00000000-0005-0000-0000-00006B040000}"/>
    <cellStyle name="Labels - Style3 3 13 2" xfId="3047" xr:uid="{00000000-0005-0000-0000-00006C040000}"/>
    <cellStyle name="Labels - Style3 3 14" xfId="3043" xr:uid="{00000000-0005-0000-0000-00006D040000}"/>
    <cellStyle name="Labels - Style3 3 2" xfId="797" xr:uid="{00000000-0005-0000-0000-00006E040000}"/>
    <cellStyle name="Labels - Style3 3 2 2" xfId="3048" xr:uid="{00000000-0005-0000-0000-00006F040000}"/>
    <cellStyle name="Labels - Style3 3 3" xfId="798" xr:uid="{00000000-0005-0000-0000-000070040000}"/>
    <cellStyle name="Labels - Style3 3 3 2" xfId="3049" xr:uid="{00000000-0005-0000-0000-000071040000}"/>
    <cellStyle name="Labels - Style3 3 4" xfId="799" xr:uid="{00000000-0005-0000-0000-000072040000}"/>
    <cellStyle name="Labels - Style3 3 4 2" xfId="3050" xr:uid="{00000000-0005-0000-0000-000073040000}"/>
    <cellStyle name="Labels - Style3 3 5" xfId="800" xr:uid="{00000000-0005-0000-0000-000074040000}"/>
    <cellStyle name="Labels - Style3 3 5 2" xfId="3051" xr:uid="{00000000-0005-0000-0000-000075040000}"/>
    <cellStyle name="Labels - Style3 3 6" xfId="801" xr:uid="{00000000-0005-0000-0000-000076040000}"/>
    <cellStyle name="Labels - Style3 3 6 2" xfId="3052" xr:uid="{00000000-0005-0000-0000-000077040000}"/>
    <cellStyle name="Labels - Style3 3 7" xfId="802" xr:uid="{00000000-0005-0000-0000-000078040000}"/>
    <cellStyle name="Labels - Style3 3 7 2" xfId="3053" xr:uid="{00000000-0005-0000-0000-000079040000}"/>
    <cellStyle name="Labels - Style3 3 8" xfId="803" xr:uid="{00000000-0005-0000-0000-00007A040000}"/>
    <cellStyle name="Labels - Style3 3 8 2" xfId="3054" xr:uid="{00000000-0005-0000-0000-00007B040000}"/>
    <cellStyle name="Labels - Style3 3 9" xfId="804" xr:uid="{00000000-0005-0000-0000-00007C040000}"/>
    <cellStyle name="Labels - Style3 3 9 2" xfId="3055" xr:uid="{00000000-0005-0000-0000-00007D040000}"/>
    <cellStyle name="Labels - Style3 4" xfId="805" xr:uid="{00000000-0005-0000-0000-00007E040000}"/>
    <cellStyle name="Labels - Style3 4 10" xfId="806" xr:uid="{00000000-0005-0000-0000-00007F040000}"/>
    <cellStyle name="Labels - Style3 4 10 2" xfId="3057" xr:uid="{00000000-0005-0000-0000-000080040000}"/>
    <cellStyle name="Labels - Style3 4 11" xfId="807" xr:uid="{00000000-0005-0000-0000-000081040000}"/>
    <cellStyle name="Labels - Style3 4 11 2" xfId="3058" xr:uid="{00000000-0005-0000-0000-000082040000}"/>
    <cellStyle name="Labels - Style3 4 12" xfId="808" xr:uid="{00000000-0005-0000-0000-000083040000}"/>
    <cellStyle name="Labels - Style3 4 12 2" xfId="3059" xr:uid="{00000000-0005-0000-0000-000084040000}"/>
    <cellStyle name="Labels - Style3 4 13" xfId="809" xr:uid="{00000000-0005-0000-0000-000085040000}"/>
    <cellStyle name="Labels - Style3 4 13 2" xfId="3060" xr:uid="{00000000-0005-0000-0000-000086040000}"/>
    <cellStyle name="Labels - Style3 4 14" xfId="3056" xr:uid="{00000000-0005-0000-0000-000087040000}"/>
    <cellStyle name="Labels - Style3 4 2" xfId="810" xr:uid="{00000000-0005-0000-0000-000088040000}"/>
    <cellStyle name="Labels - Style3 4 2 2" xfId="3061" xr:uid="{00000000-0005-0000-0000-000089040000}"/>
    <cellStyle name="Labels - Style3 4 3" xfId="811" xr:uid="{00000000-0005-0000-0000-00008A040000}"/>
    <cellStyle name="Labels - Style3 4 3 2" xfId="3062" xr:uid="{00000000-0005-0000-0000-00008B040000}"/>
    <cellStyle name="Labels - Style3 4 4" xfId="812" xr:uid="{00000000-0005-0000-0000-00008C040000}"/>
    <cellStyle name="Labels - Style3 4 4 2" xfId="3063" xr:uid="{00000000-0005-0000-0000-00008D040000}"/>
    <cellStyle name="Labels - Style3 4 5" xfId="813" xr:uid="{00000000-0005-0000-0000-00008E040000}"/>
    <cellStyle name="Labels - Style3 4 5 2" xfId="3064" xr:uid="{00000000-0005-0000-0000-00008F040000}"/>
    <cellStyle name="Labels - Style3 4 6" xfId="814" xr:uid="{00000000-0005-0000-0000-000090040000}"/>
    <cellStyle name="Labels - Style3 4 6 2" xfId="3065" xr:uid="{00000000-0005-0000-0000-000091040000}"/>
    <cellStyle name="Labels - Style3 4 7" xfId="815" xr:uid="{00000000-0005-0000-0000-000092040000}"/>
    <cellStyle name="Labels - Style3 4 7 2" xfId="3066" xr:uid="{00000000-0005-0000-0000-000093040000}"/>
    <cellStyle name="Labels - Style3 4 8" xfId="816" xr:uid="{00000000-0005-0000-0000-000094040000}"/>
    <cellStyle name="Labels - Style3 4 8 2" xfId="3067" xr:uid="{00000000-0005-0000-0000-000095040000}"/>
    <cellStyle name="Labels - Style3 4 9" xfId="817" xr:uid="{00000000-0005-0000-0000-000096040000}"/>
    <cellStyle name="Labels - Style3 4 9 2" xfId="3068" xr:uid="{00000000-0005-0000-0000-000097040000}"/>
    <cellStyle name="Labels - Style3 5" xfId="818" xr:uid="{00000000-0005-0000-0000-000098040000}"/>
    <cellStyle name="Labels - Style3 5 2" xfId="3069" xr:uid="{00000000-0005-0000-0000-000099040000}"/>
    <cellStyle name="Labels - Style3 6" xfId="2989" xr:uid="{00000000-0005-0000-0000-00009A040000}"/>
    <cellStyle name="Linked Cell" xfId="819" xr:uid="{00000000-0005-0000-0000-00009B040000}"/>
    <cellStyle name="Linked Cell 2" xfId="820" xr:uid="{00000000-0005-0000-0000-00009C040000}"/>
    <cellStyle name="Linked Cell 3" xfId="821" xr:uid="{00000000-0005-0000-0000-00009D040000}"/>
    <cellStyle name="Linked Cell 4" xfId="822" xr:uid="{00000000-0005-0000-0000-00009E040000}"/>
    <cellStyle name="LongText" xfId="823" xr:uid="{00000000-0005-0000-0000-00009F040000}"/>
    <cellStyle name="LongText 2" xfId="824" xr:uid="{00000000-0005-0000-0000-0000A0040000}"/>
    <cellStyle name="Million" xfId="825" xr:uid="{00000000-0005-0000-0000-0000A1040000}"/>
    <cellStyle name="Million [0]" xfId="826" xr:uid="{00000000-0005-0000-0000-0000A2040000}"/>
    <cellStyle name="Million [0] 2" xfId="827" xr:uid="{00000000-0005-0000-0000-0000A3040000}"/>
    <cellStyle name="Million 2" xfId="828" xr:uid="{00000000-0005-0000-0000-0000A4040000}"/>
    <cellStyle name="Neutral" xfId="829" xr:uid="{00000000-0005-0000-0000-0000A5040000}"/>
    <cellStyle name="Neutral 2" xfId="830" xr:uid="{00000000-0005-0000-0000-0000A6040000}"/>
    <cellStyle name="Neutral 3" xfId="831" xr:uid="{00000000-0005-0000-0000-0000A7040000}"/>
    <cellStyle name="Neutral 4" xfId="832" xr:uid="{00000000-0005-0000-0000-0000A8040000}"/>
    <cellStyle name="no dec" xfId="833" xr:uid="{00000000-0005-0000-0000-0000A9040000}"/>
    <cellStyle name="no dec 2" xfId="834" xr:uid="{00000000-0005-0000-0000-0000AA040000}"/>
    <cellStyle name="Normal - Style1" xfId="835" xr:uid="{00000000-0005-0000-0000-0000AB040000}"/>
    <cellStyle name="Normal - Style1 2" xfId="836" xr:uid="{00000000-0005-0000-0000-0000AC040000}"/>
    <cellStyle name="Normal - Style1 3" xfId="837" xr:uid="{00000000-0005-0000-0000-0000AD040000}"/>
    <cellStyle name="Normal - Style2" xfId="838" xr:uid="{00000000-0005-0000-0000-0000AE040000}"/>
    <cellStyle name="Normal - Style2 2" xfId="839" xr:uid="{00000000-0005-0000-0000-0000AF040000}"/>
    <cellStyle name="Normal - Style3" xfId="840" xr:uid="{00000000-0005-0000-0000-0000B0040000}"/>
    <cellStyle name="Normal - Style3 2" xfId="841" xr:uid="{00000000-0005-0000-0000-0000B1040000}"/>
    <cellStyle name="Normal - Style4" xfId="842" xr:uid="{00000000-0005-0000-0000-0000B2040000}"/>
    <cellStyle name="Normal - Style4 2" xfId="843" xr:uid="{00000000-0005-0000-0000-0000B3040000}"/>
    <cellStyle name="Normal - Style5" xfId="844" xr:uid="{00000000-0005-0000-0000-0000B4040000}"/>
    <cellStyle name="Normal - Style5 2" xfId="845" xr:uid="{00000000-0005-0000-0000-0000B5040000}"/>
    <cellStyle name="Normal - Style6" xfId="846" xr:uid="{00000000-0005-0000-0000-0000B6040000}"/>
    <cellStyle name="Normal - Style6 2" xfId="847" xr:uid="{00000000-0005-0000-0000-0000B7040000}"/>
    <cellStyle name="Normal - Style7" xfId="848" xr:uid="{00000000-0005-0000-0000-0000B8040000}"/>
    <cellStyle name="Normal - Style7 2" xfId="849" xr:uid="{00000000-0005-0000-0000-0000B9040000}"/>
    <cellStyle name="Normal - Style8" xfId="850" xr:uid="{00000000-0005-0000-0000-0000BA040000}"/>
    <cellStyle name="Normal - Style8 2" xfId="851" xr:uid="{00000000-0005-0000-0000-0000BB040000}"/>
    <cellStyle name="Normal 10" xfId="852" xr:uid="{00000000-0005-0000-0000-0000BC040000}"/>
    <cellStyle name="Normal 11" xfId="853" xr:uid="{00000000-0005-0000-0000-0000BD040000}"/>
    <cellStyle name="Normal 12" xfId="854" xr:uid="{00000000-0005-0000-0000-0000BE040000}"/>
    <cellStyle name="Normal 13" xfId="855" xr:uid="{00000000-0005-0000-0000-0000BF040000}"/>
    <cellStyle name="Normal 14" xfId="856" xr:uid="{00000000-0005-0000-0000-0000C0040000}"/>
    <cellStyle name="Normal 15" xfId="857" xr:uid="{00000000-0005-0000-0000-0000C1040000}"/>
    <cellStyle name="Normal 16" xfId="858" xr:uid="{00000000-0005-0000-0000-0000C2040000}"/>
    <cellStyle name="Normal 17" xfId="859" xr:uid="{00000000-0005-0000-0000-0000C3040000}"/>
    <cellStyle name="Normal 18" xfId="860" xr:uid="{00000000-0005-0000-0000-0000C4040000}"/>
    <cellStyle name="Normal 19" xfId="861" xr:uid="{00000000-0005-0000-0000-0000C5040000}"/>
    <cellStyle name="Normal 2" xfId="15" xr:uid="{00000000-0005-0000-0000-0000C6040000}"/>
    <cellStyle name="Normal 2 2" xfId="862" xr:uid="{00000000-0005-0000-0000-0000C7040000}"/>
    <cellStyle name="Normal 2 2 2" xfId="863" xr:uid="{00000000-0005-0000-0000-0000C8040000}"/>
    <cellStyle name="Normal 2 2 3" xfId="864" xr:uid="{00000000-0005-0000-0000-0000C9040000}"/>
    <cellStyle name="Normal 2 3" xfId="2676" xr:uid="{00000000-0005-0000-0000-0000CA040000}"/>
    <cellStyle name="Normal 3" xfId="865" xr:uid="{00000000-0005-0000-0000-0000CB040000}"/>
    <cellStyle name="Normal 3 2" xfId="866" xr:uid="{00000000-0005-0000-0000-0000CC040000}"/>
    <cellStyle name="Normal 3 3" xfId="867" xr:uid="{00000000-0005-0000-0000-0000CD040000}"/>
    <cellStyle name="Normal 4" xfId="868" xr:uid="{00000000-0005-0000-0000-0000CE040000}"/>
    <cellStyle name="Normal 4 2" xfId="869" xr:uid="{00000000-0005-0000-0000-0000CF040000}"/>
    <cellStyle name="Normal 5" xfId="870" xr:uid="{00000000-0005-0000-0000-0000D0040000}"/>
    <cellStyle name="Normal 6" xfId="871" xr:uid="{00000000-0005-0000-0000-0000D1040000}"/>
    <cellStyle name="Normal 7" xfId="872" xr:uid="{00000000-0005-0000-0000-0000D2040000}"/>
    <cellStyle name="Normal 7 2" xfId="873" xr:uid="{00000000-0005-0000-0000-0000D3040000}"/>
    <cellStyle name="Normal 8" xfId="874" xr:uid="{00000000-0005-0000-0000-0000D4040000}"/>
    <cellStyle name="Normal 9" xfId="875" xr:uid="{00000000-0005-0000-0000-0000D5040000}"/>
    <cellStyle name="Normal_1Aa3-9gla" xfId="14" xr:uid="{00000000-0005-0000-0000-0000D6040000}"/>
    <cellStyle name="Nos" xfId="876" xr:uid="{00000000-0005-0000-0000-0000D7040000}"/>
    <cellStyle name="Nos [1]" xfId="877" xr:uid="{00000000-0005-0000-0000-0000D8040000}"/>
    <cellStyle name="Nos [1] 2" xfId="878" xr:uid="{00000000-0005-0000-0000-0000D9040000}"/>
    <cellStyle name="Nos 2" xfId="879" xr:uid="{00000000-0005-0000-0000-0000DA040000}"/>
    <cellStyle name="Nos 3" xfId="880" xr:uid="{00000000-0005-0000-0000-0000DB040000}"/>
    <cellStyle name="Nos_(A014) IP 1" xfId="881" xr:uid="{00000000-0005-0000-0000-0000DC040000}"/>
    <cellStyle name="Note" xfId="882" xr:uid="{00000000-0005-0000-0000-0000DD040000}"/>
    <cellStyle name="Note 2" xfId="883" xr:uid="{00000000-0005-0000-0000-0000DE040000}"/>
    <cellStyle name="Note 2 2" xfId="884" xr:uid="{00000000-0005-0000-0000-0000DF040000}"/>
    <cellStyle name="Note 2 2 10" xfId="885" xr:uid="{00000000-0005-0000-0000-0000E0040000}"/>
    <cellStyle name="Note 2 2 10 2" xfId="2283" xr:uid="{00000000-0005-0000-0000-0000E1040000}"/>
    <cellStyle name="Note 2 2 10 2 2" xfId="3873" xr:uid="{00000000-0005-0000-0000-0000E2040000}"/>
    <cellStyle name="Note 2 2 10 3" xfId="3073" xr:uid="{00000000-0005-0000-0000-0000E3040000}"/>
    <cellStyle name="Note 2 2 11" xfId="886" xr:uid="{00000000-0005-0000-0000-0000E4040000}"/>
    <cellStyle name="Note 2 2 11 2" xfId="2284" xr:uid="{00000000-0005-0000-0000-0000E5040000}"/>
    <cellStyle name="Note 2 2 11 2 2" xfId="3874" xr:uid="{00000000-0005-0000-0000-0000E6040000}"/>
    <cellStyle name="Note 2 2 11 3" xfId="3074" xr:uid="{00000000-0005-0000-0000-0000E7040000}"/>
    <cellStyle name="Note 2 2 12" xfId="887" xr:uid="{00000000-0005-0000-0000-0000E8040000}"/>
    <cellStyle name="Note 2 2 12 2" xfId="2285" xr:uid="{00000000-0005-0000-0000-0000E9040000}"/>
    <cellStyle name="Note 2 2 12 2 2" xfId="3875" xr:uid="{00000000-0005-0000-0000-0000EA040000}"/>
    <cellStyle name="Note 2 2 12 3" xfId="3075" xr:uid="{00000000-0005-0000-0000-0000EB040000}"/>
    <cellStyle name="Note 2 2 13" xfId="888" xr:uid="{00000000-0005-0000-0000-0000EC040000}"/>
    <cellStyle name="Note 2 2 13 2" xfId="2286" xr:uid="{00000000-0005-0000-0000-0000ED040000}"/>
    <cellStyle name="Note 2 2 13 2 2" xfId="3876" xr:uid="{00000000-0005-0000-0000-0000EE040000}"/>
    <cellStyle name="Note 2 2 13 3" xfId="3076" xr:uid="{00000000-0005-0000-0000-0000EF040000}"/>
    <cellStyle name="Note 2 2 14" xfId="2282" xr:uid="{00000000-0005-0000-0000-0000F0040000}"/>
    <cellStyle name="Note 2 2 14 2" xfId="3872" xr:uid="{00000000-0005-0000-0000-0000F1040000}"/>
    <cellStyle name="Note 2 2 15" xfId="3072" xr:uid="{00000000-0005-0000-0000-0000F2040000}"/>
    <cellStyle name="Note 2 2 2" xfId="889" xr:uid="{00000000-0005-0000-0000-0000F3040000}"/>
    <cellStyle name="Note 2 2 2 2" xfId="2287" xr:uid="{00000000-0005-0000-0000-0000F4040000}"/>
    <cellStyle name="Note 2 2 2 2 2" xfId="3877" xr:uid="{00000000-0005-0000-0000-0000F5040000}"/>
    <cellStyle name="Note 2 2 2 3" xfId="3077" xr:uid="{00000000-0005-0000-0000-0000F6040000}"/>
    <cellStyle name="Note 2 2 3" xfId="890" xr:uid="{00000000-0005-0000-0000-0000F7040000}"/>
    <cellStyle name="Note 2 2 3 2" xfId="2288" xr:uid="{00000000-0005-0000-0000-0000F8040000}"/>
    <cellStyle name="Note 2 2 3 2 2" xfId="3878" xr:uid="{00000000-0005-0000-0000-0000F9040000}"/>
    <cellStyle name="Note 2 2 3 3" xfId="3078" xr:uid="{00000000-0005-0000-0000-0000FA040000}"/>
    <cellStyle name="Note 2 2 4" xfId="891" xr:uid="{00000000-0005-0000-0000-0000FB040000}"/>
    <cellStyle name="Note 2 2 4 2" xfId="2289" xr:uid="{00000000-0005-0000-0000-0000FC040000}"/>
    <cellStyle name="Note 2 2 4 2 2" xfId="3879" xr:uid="{00000000-0005-0000-0000-0000FD040000}"/>
    <cellStyle name="Note 2 2 4 3" xfId="3079" xr:uid="{00000000-0005-0000-0000-0000FE040000}"/>
    <cellStyle name="Note 2 2 5" xfId="892" xr:uid="{00000000-0005-0000-0000-0000FF040000}"/>
    <cellStyle name="Note 2 2 5 2" xfId="2290" xr:uid="{00000000-0005-0000-0000-000000050000}"/>
    <cellStyle name="Note 2 2 5 2 2" xfId="3880" xr:uid="{00000000-0005-0000-0000-000001050000}"/>
    <cellStyle name="Note 2 2 5 3" xfId="3080" xr:uid="{00000000-0005-0000-0000-000002050000}"/>
    <cellStyle name="Note 2 2 6" xfId="893" xr:uid="{00000000-0005-0000-0000-000003050000}"/>
    <cellStyle name="Note 2 2 6 2" xfId="2291" xr:uid="{00000000-0005-0000-0000-000004050000}"/>
    <cellStyle name="Note 2 2 6 2 2" xfId="3881" xr:uid="{00000000-0005-0000-0000-000005050000}"/>
    <cellStyle name="Note 2 2 6 3" xfId="3081" xr:uid="{00000000-0005-0000-0000-000006050000}"/>
    <cellStyle name="Note 2 2 7" xfId="894" xr:uid="{00000000-0005-0000-0000-000007050000}"/>
    <cellStyle name="Note 2 2 7 2" xfId="2292" xr:uid="{00000000-0005-0000-0000-000008050000}"/>
    <cellStyle name="Note 2 2 7 2 2" xfId="3882" xr:uid="{00000000-0005-0000-0000-000009050000}"/>
    <cellStyle name="Note 2 2 7 3" xfId="3082" xr:uid="{00000000-0005-0000-0000-00000A050000}"/>
    <cellStyle name="Note 2 2 8" xfId="895" xr:uid="{00000000-0005-0000-0000-00000B050000}"/>
    <cellStyle name="Note 2 2 8 2" xfId="2293" xr:uid="{00000000-0005-0000-0000-00000C050000}"/>
    <cellStyle name="Note 2 2 8 2 2" xfId="3883" xr:uid="{00000000-0005-0000-0000-00000D050000}"/>
    <cellStyle name="Note 2 2 8 3" xfId="3083" xr:uid="{00000000-0005-0000-0000-00000E050000}"/>
    <cellStyle name="Note 2 2 9" xfId="896" xr:uid="{00000000-0005-0000-0000-00000F050000}"/>
    <cellStyle name="Note 2 2 9 2" xfId="2294" xr:uid="{00000000-0005-0000-0000-000010050000}"/>
    <cellStyle name="Note 2 2 9 2 2" xfId="3884" xr:uid="{00000000-0005-0000-0000-000011050000}"/>
    <cellStyle name="Note 2 2 9 3" xfId="3084" xr:uid="{00000000-0005-0000-0000-000012050000}"/>
    <cellStyle name="Note 2 3" xfId="897" xr:uid="{00000000-0005-0000-0000-000013050000}"/>
    <cellStyle name="Note 2 3 2" xfId="2295" xr:uid="{00000000-0005-0000-0000-000014050000}"/>
    <cellStyle name="Note 2 3 2 2" xfId="3885" xr:uid="{00000000-0005-0000-0000-000015050000}"/>
    <cellStyle name="Note 2 3 3" xfId="3085" xr:uid="{00000000-0005-0000-0000-000016050000}"/>
    <cellStyle name="Note 2 4" xfId="2281" xr:uid="{00000000-0005-0000-0000-000017050000}"/>
    <cellStyle name="Note 2 4 2" xfId="3871" xr:uid="{00000000-0005-0000-0000-000018050000}"/>
    <cellStyle name="Note 2 5" xfId="3071" xr:uid="{00000000-0005-0000-0000-000019050000}"/>
    <cellStyle name="Note 3" xfId="898" xr:uid="{00000000-0005-0000-0000-00001A050000}"/>
    <cellStyle name="Note 3 2" xfId="899" xr:uid="{00000000-0005-0000-0000-00001B050000}"/>
    <cellStyle name="Note 3 2 10" xfId="900" xr:uid="{00000000-0005-0000-0000-00001C050000}"/>
    <cellStyle name="Note 3 2 10 2" xfId="2298" xr:uid="{00000000-0005-0000-0000-00001D050000}"/>
    <cellStyle name="Note 3 2 10 2 2" xfId="3888" xr:uid="{00000000-0005-0000-0000-00001E050000}"/>
    <cellStyle name="Note 3 2 10 3" xfId="3088" xr:uid="{00000000-0005-0000-0000-00001F050000}"/>
    <cellStyle name="Note 3 2 11" xfId="901" xr:uid="{00000000-0005-0000-0000-000020050000}"/>
    <cellStyle name="Note 3 2 11 2" xfId="2299" xr:uid="{00000000-0005-0000-0000-000021050000}"/>
    <cellStyle name="Note 3 2 11 2 2" xfId="3889" xr:uid="{00000000-0005-0000-0000-000022050000}"/>
    <cellStyle name="Note 3 2 11 3" xfId="3089" xr:uid="{00000000-0005-0000-0000-000023050000}"/>
    <cellStyle name="Note 3 2 12" xfId="902" xr:uid="{00000000-0005-0000-0000-000024050000}"/>
    <cellStyle name="Note 3 2 12 2" xfId="2300" xr:uid="{00000000-0005-0000-0000-000025050000}"/>
    <cellStyle name="Note 3 2 12 2 2" xfId="3890" xr:uid="{00000000-0005-0000-0000-000026050000}"/>
    <cellStyle name="Note 3 2 12 3" xfId="3090" xr:uid="{00000000-0005-0000-0000-000027050000}"/>
    <cellStyle name="Note 3 2 13" xfId="903" xr:uid="{00000000-0005-0000-0000-000028050000}"/>
    <cellStyle name="Note 3 2 13 2" xfId="2301" xr:uid="{00000000-0005-0000-0000-000029050000}"/>
    <cellStyle name="Note 3 2 13 2 2" xfId="3891" xr:uid="{00000000-0005-0000-0000-00002A050000}"/>
    <cellStyle name="Note 3 2 13 3" xfId="3091" xr:uid="{00000000-0005-0000-0000-00002B050000}"/>
    <cellStyle name="Note 3 2 14" xfId="2297" xr:uid="{00000000-0005-0000-0000-00002C050000}"/>
    <cellStyle name="Note 3 2 14 2" xfId="3887" xr:uid="{00000000-0005-0000-0000-00002D050000}"/>
    <cellStyle name="Note 3 2 15" xfId="3087" xr:uid="{00000000-0005-0000-0000-00002E050000}"/>
    <cellStyle name="Note 3 2 2" xfId="904" xr:uid="{00000000-0005-0000-0000-00002F050000}"/>
    <cellStyle name="Note 3 2 2 2" xfId="2302" xr:uid="{00000000-0005-0000-0000-000030050000}"/>
    <cellStyle name="Note 3 2 2 2 2" xfId="3892" xr:uid="{00000000-0005-0000-0000-000031050000}"/>
    <cellStyle name="Note 3 2 2 3" xfId="3092" xr:uid="{00000000-0005-0000-0000-000032050000}"/>
    <cellStyle name="Note 3 2 3" xfId="905" xr:uid="{00000000-0005-0000-0000-000033050000}"/>
    <cellStyle name="Note 3 2 3 2" xfId="2303" xr:uid="{00000000-0005-0000-0000-000034050000}"/>
    <cellStyle name="Note 3 2 3 2 2" xfId="3893" xr:uid="{00000000-0005-0000-0000-000035050000}"/>
    <cellStyle name="Note 3 2 3 3" xfId="3093" xr:uid="{00000000-0005-0000-0000-000036050000}"/>
    <cellStyle name="Note 3 2 4" xfId="906" xr:uid="{00000000-0005-0000-0000-000037050000}"/>
    <cellStyle name="Note 3 2 4 2" xfId="2304" xr:uid="{00000000-0005-0000-0000-000038050000}"/>
    <cellStyle name="Note 3 2 4 2 2" xfId="3894" xr:uid="{00000000-0005-0000-0000-000039050000}"/>
    <cellStyle name="Note 3 2 4 3" xfId="3094" xr:uid="{00000000-0005-0000-0000-00003A050000}"/>
    <cellStyle name="Note 3 2 5" xfId="907" xr:uid="{00000000-0005-0000-0000-00003B050000}"/>
    <cellStyle name="Note 3 2 5 2" xfId="2305" xr:uid="{00000000-0005-0000-0000-00003C050000}"/>
    <cellStyle name="Note 3 2 5 2 2" xfId="3895" xr:uid="{00000000-0005-0000-0000-00003D050000}"/>
    <cellStyle name="Note 3 2 5 3" xfId="3095" xr:uid="{00000000-0005-0000-0000-00003E050000}"/>
    <cellStyle name="Note 3 2 6" xfId="908" xr:uid="{00000000-0005-0000-0000-00003F050000}"/>
    <cellStyle name="Note 3 2 6 2" xfId="2306" xr:uid="{00000000-0005-0000-0000-000040050000}"/>
    <cellStyle name="Note 3 2 6 2 2" xfId="3896" xr:uid="{00000000-0005-0000-0000-000041050000}"/>
    <cellStyle name="Note 3 2 6 3" xfId="3096" xr:uid="{00000000-0005-0000-0000-000042050000}"/>
    <cellStyle name="Note 3 2 7" xfId="909" xr:uid="{00000000-0005-0000-0000-000043050000}"/>
    <cellStyle name="Note 3 2 7 2" xfId="2307" xr:uid="{00000000-0005-0000-0000-000044050000}"/>
    <cellStyle name="Note 3 2 7 2 2" xfId="3897" xr:uid="{00000000-0005-0000-0000-000045050000}"/>
    <cellStyle name="Note 3 2 7 3" xfId="3097" xr:uid="{00000000-0005-0000-0000-000046050000}"/>
    <cellStyle name="Note 3 2 8" xfId="910" xr:uid="{00000000-0005-0000-0000-000047050000}"/>
    <cellStyle name="Note 3 2 8 2" xfId="2308" xr:uid="{00000000-0005-0000-0000-000048050000}"/>
    <cellStyle name="Note 3 2 8 2 2" xfId="3898" xr:uid="{00000000-0005-0000-0000-000049050000}"/>
    <cellStyle name="Note 3 2 8 3" xfId="3098" xr:uid="{00000000-0005-0000-0000-00004A050000}"/>
    <cellStyle name="Note 3 2 9" xfId="911" xr:uid="{00000000-0005-0000-0000-00004B050000}"/>
    <cellStyle name="Note 3 2 9 2" xfId="2309" xr:uid="{00000000-0005-0000-0000-00004C050000}"/>
    <cellStyle name="Note 3 2 9 2 2" xfId="3899" xr:uid="{00000000-0005-0000-0000-00004D050000}"/>
    <cellStyle name="Note 3 2 9 3" xfId="3099" xr:uid="{00000000-0005-0000-0000-00004E050000}"/>
    <cellStyle name="Note 3 3" xfId="912" xr:uid="{00000000-0005-0000-0000-00004F050000}"/>
    <cellStyle name="Note 3 3 2" xfId="2310" xr:uid="{00000000-0005-0000-0000-000050050000}"/>
    <cellStyle name="Note 3 3 2 2" xfId="3900" xr:uid="{00000000-0005-0000-0000-000051050000}"/>
    <cellStyle name="Note 3 3 3" xfId="3100" xr:uid="{00000000-0005-0000-0000-000052050000}"/>
    <cellStyle name="Note 3 4" xfId="2296" xr:uid="{00000000-0005-0000-0000-000053050000}"/>
    <cellStyle name="Note 3 4 2" xfId="3886" xr:uid="{00000000-0005-0000-0000-000054050000}"/>
    <cellStyle name="Note 3 5" xfId="3086" xr:uid="{00000000-0005-0000-0000-000055050000}"/>
    <cellStyle name="Note 4" xfId="913" xr:uid="{00000000-0005-0000-0000-000056050000}"/>
    <cellStyle name="Note 4 10" xfId="914" xr:uid="{00000000-0005-0000-0000-000057050000}"/>
    <cellStyle name="Note 4 10 2" xfId="2312" xr:uid="{00000000-0005-0000-0000-000058050000}"/>
    <cellStyle name="Note 4 10 2 2" xfId="3902" xr:uid="{00000000-0005-0000-0000-000059050000}"/>
    <cellStyle name="Note 4 10 3" xfId="3102" xr:uid="{00000000-0005-0000-0000-00005A050000}"/>
    <cellStyle name="Note 4 11" xfId="915" xr:uid="{00000000-0005-0000-0000-00005B050000}"/>
    <cellStyle name="Note 4 11 2" xfId="2313" xr:uid="{00000000-0005-0000-0000-00005C050000}"/>
    <cellStyle name="Note 4 11 2 2" xfId="3903" xr:uid="{00000000-0005-0000-0000-00005D050000}"/>
    <cellStyle name="Note 4 11 3" xfId="3103" xr:uid="{00000000-0005-0000-0000-00005E050000}"/>
    <cellStyle name="Note 4 12" xfId="916" xr:uid="{00000000-0005-0000-0000-00005F050000}"/>
    <cellStyle name="Note 4 12 2" xfId="2314" xr:uid="{00000000-0005-0000-0000-000060050000}"/>
    <cellStyle name="Note 4 12 2 2" xfId="3904" xr:uid="{00000000-0005-0000-0000-000061050000}"/>
    <cellStyle name="Note 4 12 3" xfId="3104" xr:uid="{00000000-0005-0000-0000-000062050000}"/>
    <cellStyle name="Note 4 13" xfId="917" xr:uid="{00000000-0005-0000-0000-000063050000}"/>
    <cellStyle name="Note 4 13 2" xfId="2315" xr:uid="{00000000-0005-0000-0000-000064050000}"/>
    <cellStyle name="Note 4 13 2 2" xfId="3905" xr:uid="{00000000-0005-0000-0000-000065050000}"/>
    <cellStyle name="Note 4 13 3" xfId="3105" xr:uid="{00000000-0005-0000-0000-000066050000}"/>
    <cellStyle name="Note 4 14" xfId="2311" xr:uid="{00000000-0005-0000-0000-000067050000}"/>
    <cellStyle name="Note 4 14 2" xfId="3901" xr:uid="{00000000-0005-0000-0000-000068050000}"/>
    <cellStyle name="Note 4 15" xfId="3101" xr:uid="{00000000-0005-0000-0000-000069050000}"/>
    <cellStyle name="Note 4 2" xfId="918" xr:uid="{00000000-0005-0000-0000-00006A050000}"/>
    <cellStyle name="Note 4 2 2" xfId="2316" xr:uid="{00000000-0005-0000-0000-00006B050000}"/>
    <cellStyle name="Note 4 2 2 2" xfId="3906" xr:uid="{00000000-0005-0000-0000-00006C050000}"/>
    <cellStyle name="Note 4 2 3" xfId="3106" xr:uid="{00000000-0005-0000-0000-00006D050000}"/>
    <cellStyle name="Note 4 3" xfId="919" xr:uid="{00000000-0005-0000-0000-00006E050000}"/>
    <cellStyle name="Note 4 3 2" xfId="2317" xr:uid="{00000000-0005-0000-0000-00006F050000}"/>
    <cellStyle name="Note 4 3 2 2" xfId="3907" xr:uid="{00000000-0005-0000-0000-000070050000}"/>
    <cellStyle name="Note 4 3 3" xfId="3107" xr:uid="{00000000-0005-0000-0000-000071050000}"/>
    <cellStyle name="Note 4 4" xfId="920" xr:uid="{00000000-0005-0000-0000-000072050000}"/>
    <cellStyle name="Note 4 4 2" xfId="2318" xr:uid="{00000000-0005-0000-0000-000073050000}"/>
    <cellStyle name="Note 4 4 2 2" xfId="3908" xr:uid="{00000000-0005-0000-0000-000074050000}"/>
    <cellStyle name="Note 4 4 3" xfId="3108" xr:uid="{00000000-0005-0000-0000-000075050000}"/>
    <cellStyle name="Note 4 5" xfId="921" xr:uid="{00000000-0005-0000-0000-000076050000}"/>
    <cellStyle name="Note 4 5 2" xfId="2319" xr:uid="{00000000-0005-0000-0000-000077050000}"/>
    <cellStyle name="Note 4 5 2 2" xfId="3909" xr:uid="{00000000-0005-0000-0000-000078050000}"/>
    <cellStyle name="Note 4 5 3" xfId="3109" xr:uid="{00000000-0005-0000-0000-000079050000}"/>
    <cellStyle name="Note 4 6" xfId="922" xr:uid="{00000000-0005-0000-0000-00007A050000}"/>
    <cellStyle name="Note 4 6 2" xfId="2320" xr:uid="{00000000-0005-0000-0000-00007B050000}"/>
    <cellStyle name="Note 4 6 2 2" xfId="3910" xr:uid="{00000000-0005-0000-0000-00007C050000}"/>
    <cellStyle name="Note 4 6 3" xfId="3110" xr:uid="{00000000-0005-0000-0000-00007D050000}"/>
    <cellStyle name="Note 4 7" xfId="923" xr:uid="{00000000-0005-0000-0000-00007E050000}"/>
    <cellStyle name="Note 4 7 2" xfId="2321" xr:uid="{00000000-0005-0000-0000-00007F050000}"/>
    <cellStyle name="Note 4 7 2 2" xfId="3911" xr:uid="{00000000-0005-0000-0000-000080050000}"/>
    <cellStyle name="Note 4 7 3" xfId="3111" xr:uid="{00000000-0005-0000-0000-000081050000}"/>
    <cellStyle name="Note 4 8" xfId="924" xr:uid="{00000000-0005-0000-0000-000082050000}"/>
    <cellStyle name="Note 4 8 2" xfId="2322" xr:uid="{00000000-0005-0000-0000-000083050000}"/>
    <cellStyle name="Note 4 8 2 2" xfId="3912" xr:uid="{00000000-0005-0000-0000-000084050000}"/>
    <cellStyle name="Note 4 8 3" xfId="3112" xr:uid="{00000000-0005-0000-0000-000085050000}"/>
    <cellStyle name="Note 4 9" xfId="925" xr:uid="{00000000-0005-0000-0000-000086050000}"/>
    <cellStyle name="Note 4 9 2" xfId="2323" xr:uid="{00000000-0005-0000-0000-000087050000}"/>
    <cellStyle name="Note 4 9 2 2" xfId="3913" xr:uid="{00000000-0005-0000-0000-000088050000}"/>
    <cellStyle name="Note 4 9 3" xfId="3113" xr:uid="{00000000-0005-0000-0000-000089050000}"/>
    <cellStyle name="Note 5" xfId="926" xr:uid="{00000000-0005-0000-0000-00008A050000}"/>
    <cellStyle name="Note 5 2" xfId="2324" xr:uid="{00000000-0005-0000-0000-00008B050000}"/>
    <cellStyle name="Note 5 2 2" xfId="3914" xr:uid="{00000000-0005-0000-0000-00008C050000}"/>
    <cellStyle name="Note 5 3" xfId="3114" xr:uid="{00000000-0005-0000-0000-00008D050000}"/>
    <cellStyle name="Note 6" xfId="2280" xr:uid="{00000000-0005-0000-0000-00008E050000}"/>
    <cellStyle name="Note 6 2" xfId="3870" xr:uid="{00000000-0005-0000-0000-00008F050000}"/>
    <cellStyle name="Note 7" xfId="3070" xr:uid="{00000000-0005-0000-0000-000090050000}"/>
    <cellStyle name="ºó¼Ì³¬¼¶Á´½Ó" xfId="927" xr:uid="{00000000-0005-0000-0000-000091050000}"/>
    <cellStyle name="ºó¼Ì³¬¼¶Á´½Ó 2" xfId="928" xr:uid="{00000000-0005-0000-0000-000092050000}"/>
    <cellStyle name="Output" xfId="929" xr:uid="{00000000-0005-0000-0000-000093050000}"/>
    <cellStyle name="Output 2" xfId="930" xr:uid="{00000000-0005-0000-0000-000094050000}"/>
    <cellStyle name="Output 2 2" xfId="931" xr:uid="{00000000-0005-0000-0000-000095050000}"/>
    <cellStyle name="Output 2 2 10" xfId="932" xr:uid="{00000000-0005-0000-0000-000096050000}"/>
    <cellStyle name="Output 2 2 10 2" xfId="2328" xr:uid="{00000000-0005-0000-0000-000097050000}"/>
    <cellStyle name="Output 2 2 10 2 2" xfId="3918" xr:uid="{00000000-0005-0000-0000-000098050000}"/>
    <cellStyle name="Output 2 2 10 3" xfId="3118" xr:uid="{00000000-0005-0000-0000-000099050000}"/>
    <cellStyle name="Output 2 2 11" xfId="933" xr:uid="{00000000-0005-0000-0000-00009A050000}"/>
    <cellStyle name="Output 2 2 11 2" xfId="2329" xr:uid="{00000000-0005-0000-0000-00009B050000}"/>
    <cellStyle name="Output 2 2 11 2 2" xfId="3919" xr:uid="{00000000-0005-0000-0000-00009C050000}"/>
    <cellStyle name="Output 2 2 11 3" xfId="3119" xr:uid="{00000000-0005-0000-0000-00009D050000}"/>
    <cellStyle name="Output 2 2 12" xfId="934" xr:uid="{00000000-0005-0000-0000-00009E050000}"/>
    <cellStyle name="Output 2 2 12 2" xfId="2330" xr:uid="{00000000-0005-0000-0000-00009F050000}"/>
    <cellStyle name="Output 2 2 12 2 2" xfId="3920" xr:uid="{00000000-0005-0000-0000-0000A0050000}"/>
    <cellStyle name="Output 2 2 12 3" xfId="3120" xr:uid="{00000000-0005-0000-0000-0000A1050000}"/>
    <cellStyle name="Output 2 2 13" xfId="935" xr:uid="{00000000-0005-0000-0000-0000A2050000}"/>
    <cellStyle name="Output 2 2 13 2" xfId="2331" xr:uid="{00000000-0005-0000-0000-0000A3050000}"/>
    <cellStyle name="Output 2 2 13 2 2" xfId="3921" xr:uid="{00000000-0005-0000-0000-0000A4050000}"/>
    <cellStyle name="Output 2 2 13 3" xfId="3121" xr:uid="{00000000-0005-0000-0000-0000A5050000}"/>
    <cellStyle name="Output 2 2 14" xfId="2327" xr:uid="{00000000-0005-0000-0000-0000A6050000}"/>
    <cellStyle name="Output 2 2 14 2" xfId="3917" xr:uid="{00000000-0005-0000-0000-0000A7050000}"/>
    <cellStyle name="Output 2 2 15" xfId="3117" xr:uid="{00000000-0005-0000-0000-0000A8050000}"/>
    <cellStyle name="Output 2 2 2" xfId="936" xr:uid="{00000000-0005-0000-0000-0000A9050000}"/>
    <cellStyle name="Output 2 2 2 2" xfId="2332" xr:uid="{00000000-0005-0000-0000-0000AA050000}"/>
    <cellStyle name="Output 2 2 2 2 2" xfId="3922" xr:uid="{00000000-0005-0000-0000-0000AB050000}"/>
    <cellStyle name="Output 2 2 2 3" xfId="3122" xr:uid="{00000000-0005-0000-0000-0000AC050000}"/>
    <cellStyle name="Output 2 2 3" xfId="937" xr:uid="{00000000-0005-0000-0000-0000AD050000}"/>
    <cellStyle name="Output 2 2 3 2" xfId="2333" xr:uid="{00000000-0005-0000-0000-0000AE050000}"/>
    <cellStyle name="Output 2 2 3 2 2" xfId="3923" xr:uid="{00000000-0005-0000-0000-0000AF050000}"/>
    <cellStyle name="Output 2 2 3 3" xfId="3123" xr:uid="{00000000-0005-0000-0000-0000B0050000}"/>
    <cellStyle name="Output 2 2 4" xfId="938" xr:uid="{00000000-0005-0000-0000-0000B1050000}"/>
    <cellStyle name="Output 2 2 4 2" xfId="2334" xr:uid="{00000000-0005-0000-0000-0000B2050000}"/>
    <cellStyle name="Output 2 2 4 2 2" xfId="3924" xr:uid="{00000000-0005-0000-0000-0000B3050000}"/>
    <cellStyle name="Output 2 2 4 3" xfId="3124" xr:uid="{00000000-0005-0000-0000-0000B4050000}"/>
    <cellStyle name="Output 2 2 5" xfId="939" xr:uid="{00000000-0005-0000-0000-0000B5050000}"/>
    <cellStyle name="Output 2 2 5 2" xfId="2335" xr:uid="{00000000-0005-0000-0000-0000B6050000}"/>
    <cellStyle name="Output 2 2 5 2 2" xfId="3925" xr:uid="{00000000-0005-0000-0000-0000B7050000}"/>
    <cellStyle name="Output 2 2 5 3" xfId="3125" xr:uid="{00000000-0005-0000-0000-0000B8050000}"/>
    <cellStyle name="Output 2 2 6" xfId="940" xr:uid="{00000000-0005-0000-0000-0000B9050000}"/>
    <cellStyle name="Output 2 2 6 2" xfId="2336" xr:uid="{00000000-0005-0000-0000-0000BA050000}"/>
    <cellStyle name="Output 2 2 6 2 2" xfId="3926" xr:uid="{00000000-0005-0000-0000-0000BB050000}"/>
    <cellStyle name="Output 2 2 6 3" xfId="3126" xr:uid="{00000000-0005-0000-0000-0000BC050000}"/>
    <cellStyle name="Output 2 2 7" xfId="941" xr:uid="{00000000-0005-0000-0000-0000BD050000}"/>
    <cellStyle name="Output 2 2 7 2" xfId="2337" xr:uid="{00000000-0005-0000-0000-0000BE050000}"/>
    <cellStyle name="Output 2 2 7 2 2" xfId="3927" xr:uid="{00000000-0005-0000-0000-0000BF050000}"/>
    <cellStyle name="Output 2 2 7 3" xfId="3127" xr:uid="{00000000-0005-0000-0000-0000C0050000}"/>
    <cellStyle name="Output 2 2 8" xfId="942" xr:uid="{00000000-0005-0000-0000-0000C1050000}"/>
    <cellStyle name="Output 2 2 8 2" xfId="2338" xr:uid="{00000000-0005-0000-0000-0000C2050000}"/>
    <cellStyle name="Output 2 2 8 2 2" xfId="3928" xr:uid="{00000000-0005-0000-0000-0000C3050000}"/>
    <cellStyle name="Output 2 2 8 3" xfId="3128" xr:uid="{00000000-0005-0000-0000-0000C4050000}"/>
    <cellStyle name="Output 2 2 9" xfId="943" xr:uid="{00000000-0005-0000-0000-0000C5050000}"/>
    <cellStyle name="Output 2 2 9 2" xfId="2339" xr:uid="{00000000-0005-0000-0000-0000C6050000}"/>
    <cellStyle name="Output 2 2 9 2 2" xfId="3929" xr:uid="{00000000-0005-0000-0000-0000C7050000}"/>
    <cellStyle name="Output 2 2 9 3" xfId="3129" xr:uid="{00000000-0005-0000-0000-0000C8050000}"/>
    <cellStyle name="Output 2 3" xfId="944" xr:uid="{00000000-0005-0000-0000-0000C9050000}"/>
    <cellStyle name="Output 2 3 2" xfId="2340" xr:uid="{00000000-0005-0000-0000-0000CA050000}"/>
    <cellStyle name="Output 2 3 2 2" xfId="3930" xr:uid="{00000000-0005-0000-0000-0000CB050000}"/>
    <cellStyle name="Output 2 3 3" xfId="3130" xr:uid="{00000000-0005-0000-0000-0000CC050000}"/>
    <cellStyle name="Output 2 4" xfId="2326" xr:uid="{00000000-0005-0000-0000-0000CD050000}"/>
    <cellStyle name="Output 2 4 2" xfId="3916" xr:uid="{00000000-0005-0000-0000-0000CE050000}"/>
    <cellStyle name="Output 2 5" xfId="3116" xr:uid="{00000000-0005-0000-0000-0000CF050000}"/>
    <cellStyle name="Output 3" xfId="945" xr:uid="{00000000-0005-0000-0000-0000D0050000}"/>
    <cellStyle name="Output 3 2" xfId="946" xr:uid="{00000000-0005-0000-0000-0000D1050000}"/>
    <cellStyle name="Output 3 2 10" xfId="947" xr:uid="{00000000-0005-0000-0000-0000D2050000}"/>
    <cellStyle name="Output 3 2 10 2" xfId="2343" xr:uid="{00000000-0005-0000-0000-0000D3050000}"/>
    <cellStyle name="Output 3 2 10 2 2" xfId="3933" xr:uid="{00000000-0005-0000-0000-0000D4050000}"/>
    <cellStyle name="Output 3 2 10 3" xfId="3133" xr:uid="{00000000-0005-0000-0000-0000D5050000}"/>
    <cellStyle name="Output 3 2 11" xfId="948" xr:uid="{00000000-0005-0000-0000-0000D6050000}"/>
    <cellStyle name="Output 3 2 11 2" xfId="2344" xr:uid="{00000000-0005-0000-0000-0000D7050000}"/>
    <cellStyle name="Output 3 2 11 2 2" xfId="3934" xr:uid="{00000000-0005-0000-0000-0000D8050000}"/>
    <cellStyle name="Output 3 2 11 3" xfId="3134" xr:uid="{00000000-0005-0000-0000-0000D9050000}"/>
    <cellStyle name="Output 3 2 12" xfId="949" xr:uid="{00000000-0005-0000-0000-0000DA050000}"/>
    <cellStyle name="Output 3 2 12 2" xfId="2345" xr:uid="{00000000-0005-0000-0000-0000DB050000}"/>
    <cellStyle name="Output 3 2 12 2 2" xfId="3935" xr:uid="{00000000-0005-0000-0000-0000DC050000}"/>
    <cellStyle name="Output 3 2 12 3" xfId="3135" xr:uid="{00000000-0005-0000-0000-0000DD050000}"/>
    <cellStyle name="Output 3 2 13" xfId="950" xr:uid="{00000000-0005-0000-0000-0000DE050000}"/>
    <cellStyle name="Output 3 2 13 2" xfId="2346" xr:uid="{00000000-0005-0000-0000-0000DF050000}"/>
    <cellStyle name="Output 3 2 13 2 2" xfId="3936" xr:uid="{00000000-0005-0000-0000-0000E0050000}"/>
    <cellStyle name="Output 3 2 13 3" xfId="3136" xr:uid="{00000000-0005-0000-0000-0000E1050000}"/>
    <cellStyle name="Output 3 2 14" xfId="2342" xr:uid="{00000000-0005-0000-0000-0000E2050000}"/>
    <cellStyle name="Output 3 2 14 2" xfId="3932" xr:uid="{00000000-0005-0000-0000-0000E3050000}"/>
    <cellStyle name="Output 3 2 15" xfId="3132" xr:uid="{00000000-0005-0000-0000-0000E4050000}"/>
    <cellStyle name="Output 3 2 2" xfId="951" xr:uid="{00000000-0005-0000-0000-0000E5050000}"/>
    <cellStyle name="Output 3 2 2 2" xfId="2347" xr:uid="{00000000-0005-0000-0000-0000E6050000}"/>
    <cellStyle name="Output 3 2 2 2 2" xfId="3937" xr:uid="{00000000-0005-0000-0000-0000E7050000}"/>
    <cellStyle name="Output 3 2 2 3" xfId="3137" xr:uid="{00000000-0005-0000-0000-0000E8050000}"/>
    <cellStyle name="Output 3 2 3" xfId="952" xr:uid="{00000000-0005-0000-0000-0000E9050000}"/>
    <cellStyle name="Output 3 2 3 2" xfId="2348" xr:uid="{00000000-0005-0000-0000-0000EA050000}"/>
    <cellStyle name="Output 3 2 3 2 2" xfId="3938" xr:uid="{00000000-0005-0000-0000-0000EB050000}"/>
    <cellStyle name="Output 3 2 3 3" xfId="3138" xr:uid="{00000000-0005-0000-0000-0000EC050000}"/>
    <cellStyle name="Output 3 2 4" xfId="953" xr:uid="{00000000-0005-0000-0000-0000ED050000}"/>
    <cellStyle name="Output 3 2 4 2" xfId="2349" xr:uid="{00000000-0005-0000-0000-0000EE050000}"/>
    <cellStyle name="Output 3 2 4 2 2" xfId="3939" xr:uid="{00000000-0005-0000-0000-0000EF050000}"/>
    <cellStyle name="Output 3 2 4 3" xfId="3139" xr:uid="{00000000-0005-0000-0000-0000F0050000}"/>
    <cellStyle name="Output 3 2 5" xfId="954" xr:uid="{00000000-0005-0000-0000-0000F1050000}"/>
    <cellStyle name="Output 3 2 5 2" xfId="2350" xr:uid="{00000000-0005-0000-0000-0000F2050000}"/>
    <cellStyle name="Output 3 2 5 2 2" xfId="3940" xr:uid="{00000000-0005-0000-0000-0000F3050000}"/>
    <cellStyle name="Output 3 2 5 3" xfId="3140" xr:uid="{00000000-0005-0000-0000-0000F4050000}"/>
    <cellStyle name="Output 3 2 6" xfId="955" xr:uid="{00000000-0005-0000-0000-0000F5050000}"/>
    <cellStyle name="Output 3 2 6 2" xfId="2351" xr:uid="{00000000-0005-0000-0000-0000F6050000}"/>
    <cellStyle name="Output 3 2 6 2 2" xfId="3941" xr:uid="{00000000-0005-0000-0000-0000F7050000}"/>
    <cellStyle name="Output 3 2 6 3" xfId="3141" xr:uid="{00000000-0005-0000-0000-0000F8050000}"/>
    <cellStyle name="Output 3 2 7" xfId="956" xr:uid="{00000000-0005-0000-0000-0000F9050000}"/>
    <cellStyle name="Output 3 2 7 2" xfId="2352" xr:uid="{00000000-0005-0000-0000-0000FA050000}"/>
    <cellStyle name="Output 3 2 7 2 2" xfId="3942" xr:uid="{00000000-0005-0000-0000-0000FB050000}"/>
    <cellStyle name="Output 3 2 7 3" xfId="3142" xr:uid="{00000000-0005-0000-0000-0000FC050000}"/>
    <cellStyle name="Output 3 2 8" xfId="957" xr:uid="{00000000-0005-0000-0000-0000FD050000}"/>
    <cellStyle name="Output 3 2 8 2" xfId="2353" xr:uid="{00000000-0005-0000-0000-0000FE050000}"/>
    <cellStyle name="Output 3 2 8 2 2" xfId="3943" xr:uid="{00000000-0005-0000-0000-0000FF050000}"/>
    <cellStyle name="Output 3 2 8 3" xfId="3143" xr:uid="{00000000-0005-0000-0000-000000060000}"/>
    <cellStyle name="Output 3 2 9" xfId="958" xr:uid="{00000000-0005-0000-0000-000001060000}"/>
    <cellStyle name="Output 3 2 9 2" xfId="2354" xr:uid="{00000000-0005-0000-0000-000002060000}"/>
    <cellStyle name="Output 3 2 9 2 2" xfId="3944" xr:uid="{00000000-0005-0000-0000-000003060000}"/>
    <cellStyle name="Output 3 2 9 3" xfId="3144" xr:uid="{00000000-0005-0000-0000-000004060000}"/>
    <cellStyle name="Output 3 3" xfId="959" xr:uid="{00000000-0005-0000-0000-000005060000}"/>
    <cellStyle name="Output 3 3 2" xfId="2355" xr:uid="{00000000-0005-0000-0000-000006060000}"/>
    <cellStyle name="Output 3 3 2 2" xfId="3945" xr:uid="{00000000-0005-0000-0000-000007060000}"/>
    <cellStyle name="Output 3 3 3" xfId="3145" xr:uid="{00000000-0005-0000-0000-000008060000}"/>
    <cellStyle name="Output 3 4" xfId="2341" xr:uid="{00000000-0005-0000-0000-000009060000}"/>
    <cellStyle name="Output 3 4 2" xfId="3931" xr:uid="{00000000-0005-0000-0000-00000A060000}"/>
    <cellStyle name="Output 3 5" xfId="3131" xr:uid="{00000000-0005-0000-0000-00000B060000}"/>
    <cellStyle name="Output 4" xfId="960" xr:uid="{00000000-0005-0000-0000-00000C060000}"/>
    <cellStyle name="Output 4 2" xfId="961" xr:uid="{00000000-0005-0000-0000-00000D060000}"/>
    <cellStyle name="Output 4 2 10" xfId="962" xr:uid="{00000000-0005-0000-0000-00000E060000}"/>
    <cellStyle name="Output 4 2 10 2" xfId="2358" xr:uid="{00000000-0005-0000-0000-00000F060000}"/>
    <cellStyle name="Output 4 2 10 2 2" xfId="3948" xr:uid="{00000000-0005-0000-0000-000010060000}"/>
    <cellStyle name="Output 4 2 10 3" xfId="3148" xr:uid="{00000000-0005-0000-0000-000011060000}"/>
    <cellStyle name="Output 4 2 11" xfId="963" xr:uid="{00000000-0005-0000-0000-000012060000}"/>
    <cellStyle name="Output 4 2 11 2" xfId="2359" xr:uid="{00000000-0005-0000-0000-000013060000}"/>
    <cellStyle name="Output 4 2 11 2 2" xfId="3949" xr:uid="{00000000-0005-0000-0000-000014060000}"/>
    <cellStyle name="Output 4 2 11 3" xfId="3149" xr:uid="{00000000-0005-0000-0000-000015060000}"/>
    <cellStyle name="Output 4 2 12" xfId="964" xr:uid="{00000000-0005-0000-0000-000016060000}"/>
    <cellStyle name="Output 4 2 12 2" xfId="2360" xr:uid="{00000000-0005-0000-0000-000017060000}"/>
    <cellStyle name="Output 4 2 12 2 2" xfId="3950" xr:uid="{00000000-0005-0000-0000-000018060000}"/>
    <cellStyle name="Output 4 2 12 3" xfId="3150" xr:uid="{00000000-0005-0000-0000-000019060000}"/>
    <cellStyle name="Output 4 2 13" xfId="965" xr:uid="{00000000-0005-0000-0000-00001A060000}"/>
    <cellStyle name="Output 4 2 13 2" xfId="2361" xr:uid="{00000000-0005-0000-0000-00001B060000}"/>
    <cellStyle name="Output 4 2 13 2 2" xfId="3951" xr:uid="{00000000-0005-0000-0000-00001C060000}"/>
    <cellStyle name="Output 4 2 13 3" xfId="3151" xr:uid="{00000000-0005-0000-0000-00001D060000}"/>
    <cellStyle name="Output 4 2 14" xfId="2357" xr:uid="{00000000-0005-0000-0000-00001E060000}"/>
    <cellStyle name="Output 4 2 14 2" xfId="3947" xr:uid="{00000000-0005-0000-0000-00001F060000}"/>
    <cellStyle name="Output 4 2 15" xfId="3147" xr:uid="{00000000-0005-0000-0000-000020060000}"/>
    <cellStyle name="Output 4 2 2" xfId="966" xr:uid="{00000000-0005-0000-0000-000021060000}"/>
    <cellStyle name="Output 4 2 2 2" xfId="2362" xr:uid="{00000000-0005-0000-0000-000022060000}"/>
    <cellStyle name="Output 4 2 2 2 2" xfId="3952" xr:uid="{00000000-0005-0000-0000-000023060000}"/>
    <cellStyle name="Output 4 2 2 3" xfId="3152" xr:uid="{00000000-0005-0000-0000-000024060000}"/>
    <cellStyle name="Output 4 2 3" xfId="967" xr:uid="{00000000-0005-0000-0000-000025060000}"/>
    <cellStyle name="Output 4 2 3 2" xfId="2363" xr:uid="{00000000-0005-0000-0000-000026060000}"/>
    <cellStyle name="Output 4 2 3 2 2" xfId="3953" xr:uid="{00000000-0005-0000-0000-000027060000}"/>
    <cellStyle name="Output 4 2 3 3" xfId="3153" xr:uid="{00000000-0005-0000-0000-000028060000}"/>
    <cellStyle name="Output 4 2 4" xfId="968" xr:uid="{00000000-0005-0000-0000-000029060000}"/>
    <cellStyle name="Output 4 2 4 2" xfId="2364" xr:uid="{00000000-0005-0000-0000-00002A060000}"/>
    <cellStyle name="Output 4 2 4 2 2" xfId="3954" xr:uid="{00000000-0005-0000-0000-00002B060000}"/>
    <cellStyle name="Output 4 2 4 3" xfId="3154" xr:uid="{00000000-0005-0000-0000-00002C060000}"/>
    <cellStyle name="Output 4 2 5" xfId="969" xr:uid="{00000000-0005-0000-0000-00002D060000}"/>
    <cellStyle name="Output 4 2 5 2" xfId="2365" xr:uid="{00000000-0005-0000-0000-00002E060000}"/>
    <cellStyle name="Output 4 2 5 2 2" xfId="3955" xr:uid="{00000000-0005-0000-0000-00002F060000}"/>
    <cellStyle name="Output 4 2 5 3" xfId="3155" xr:uid="{00000000-0005-0000-0000-000030060000}"/>
    <cellStyle name="Output 4 2 6" xfId="970" xr:uid="{00000000-0005-0000-0000-000031060000}"/>
    <cellStyle name="Output 4 2 6 2" xfId="2366" xr:uid="{00000000-0005-0000-0000-000032060000}"/>
    <cellStyle name="Output 4 2 6 2 2" xfId="3956" xr:uid="{00000000-0005-0000-0000-000033060000}"/>
    <cellStyle name="Output 4 2 6 3" xfId="3156" xr:uid="{00000000-0005-0000-0000-000034060000}"/>
    <cellStyle name="Output 4 2 7" xfId="971" xr:uid="{00000000-0005-0000-0000-000035060000}"/>
    <cellStyle name="Output 4 2 7 2" xfId="2367" xr:uid="{00000000-0005-0000-0000-000036060000}"/>
    <cellStyle name="Output 4 2 7 2 2" xfId="3957" xr:uid="{00000000-0005-0000-0000-000037060000}"/>
    <cellStyle name="Output 4 2 7 3" xfId="3157" xr:uid="{00000000-0005-0000-0000-000038060000}"/>
    <cellStyle name="Output 4 2 8" xfId="972" xr:uid="{00000000-0005-0000-0000-000039060000}"/>
    <cellStyle name="Output 4 2 8 2" xfId="2368" xr:uid="{00000000-0005-0000-0000-00003A060000}"/>
    <cellStyle name="Output 4 2 8 2 2" xfId="3958" xr:uid="{00000000-0005-0000-0000-00003B060000}"/>
    <cellStyle name="Output 4 2 8 3" xfId="3158" xr:uid="{00000000-0005-0000-0000-00003C060000}"/>
    <cellStyle name="Output 4 2 9" xfId="973" xr:uid="{00000000-0005-0000-0000-00003D060000}"/>
    <cellStyle name="Output 4 2 9 2" xfId="2369" xr:uid="{00000000-0005-0000-0000-00003E060000}"/>
    <cellStyle name="Output 4 2 9 2 2" xfId="3959" xr:uid="{00000000-0005-0000-0000-00003F060000}"/>
    <cellStyle name="Output 4 2 9 3" xfId="3159" xr:uid="{00000000-0005-0000-0000-000040060000}"/>
    <cellStyle name="Output 4 3" xfId="974" xr:uid="{00000000-0005-0000-0000-000041060000}"/>
    <cellStyle name="Output 4 3 2" xfId="2370" xr:uid="{00000000-0005-0000-0000-000042060000}"/>
    <cellStyle name="Output 4 3 2 2" xfId="3960" xr:uid="{00000000-0005-0000-0000-000043060000}"/>
    <cellStyle name="Output 4 3 3" xfId="3160" xr:uid="{00000000-0005-0000-0000-000044060000}"/>
    <cellStyle name="Output 4 4" xfId="2356" xr:uid="{00000000-0005-0000-0000-000045060000}"/>
    <cellStyle name="Output 4 4 2" xfId="3946" xr:uid="{00000000-0005-0000-0000-000046060000}"/>
    <cellStyle name="Output 4 5" xfId="3146" xr:uid="{00000000-0005-0000-0000-000047060000}"/>
    <cellStyle name="Output 5" xfId="975" xr:uid="{00000000-0005-0000-0000-000048060000}"/>
    <cellStyle name="Output 5 10" xfId="976" xr:uid="{00000000-0005-0000-0000-000049060000}"/>
    <cellStyle name="Output 5 10 2" xfId="2372" xr:uid="{00000000-0005-0000-0000-00004A060000}"/>
    <cellStyle name="Output 5 10 2 2" xfId="3962" xr:uid="{00000000-0005-0000-0000-00004B060000}"/>
    <cellStyle name="Output 5 10 3" xfId="3162" xr:uid="{00000000-0005-0000-0000-00004C060000}"/>
    <cellStyle name="Output 5 11" xfId="977" xr:uid="{00000000-0005-0000-0000-00004D060000}"/>
    <cellStyle name="Output 5 11 2" xfId="2373" xr:uid="{00000000-0005-0000-0000-00004E060000}"/>
    <cellStyle name="Output 5 11 2 2" xfId="3963" xr:uid="{00000000-0005-0000-0000-00004F060000}"/>
    <cellStyle name="Output 5 11 3" xfId="3163" xr:uid="{00000000-0005-0000-0000-000050060000}"/>
    <cellStyle name="Output 5 12" xfId="978" xr:uid="{00000000-0005-0000-0000-000051060000}"/>
    <cellStyle name="Output 5 12 2" xfId="2374" xr:uid="{00000000-0005-0000-0000-000052060000}"/>
    <cellStyle name="Output 5 12 2 2" xfId="3964" xr:uid="{00000000-0005-0000-0000-000053060000}"/>
    <cellStyle name="Output 5 12 3" xfId="3164" xr:uid="{00000000-0005-0000-0000-000054060000}"/>
    <cellStyle name="Output 5 13" xfId="979" xr:uid="{00000000-0005-0000-0000-000055060000}"/>
    <cellStyle name="Output 5 13 2" xfId="2375" xr:uid="{00000000-0005-0000-0000-000056060000}"/>
    <cellStyle name="Output 5 13 2 2" xfId="3965" xr:uid="{00000000-0005-0000-0000-000057060000}"/>
    <cellStyle name="Output 5 13 3" xfId="3165" xr:uid="{00000000-0005-0000-0000-000058060000}"/>
    <cellStyle name="Output 5 14" xfId="2371" xr:uid="{00000000-0005-0000-0000-000059060000}"/>
    <cellStyle name="Output 5 14 2" xfId="3961" xr:uid="{00000000-0005-0000-0000-00005A060000}"/>
    <cellStyle name="Output 5 15" xfId="3161" xr:uid="{00000000-0005-0000-0000-00005B060000}"/>
    <cellStyle name="Output 5 2" xfId="980" xr:uid="{00000000-0005-0000-0000-00005C060000}"/>
    <cellStyle name="Output 5 2 2" xfId="2376" xr:uid="{00000000-0005-0000-0000-00005D060000}"/>
    <cellStyle name="Output 5 2 2 2" xfId="3966" xr:uid="{00000000-0005-0000-0000-00005E060000}"/>
    <cellStyle name="Output 5 2 3" xfId="3166" xr:uid="{00000000-0005-0000-0000-00005F060000}"/>
    <cellStyle name="Output 5 3" xfId="981" xr:uid="{00000000-0005-0000-0000-000060060000}"/>
    <cellStyle name="Output 5 3 2" xfId="2377" xr:uid="{00000000-0005-0000-0000-000061060000}"/>
    <cellStyle name="Output 5 3 2 2" xfId="3967" xr:uid="{00000000-0005-0000-0000-000062060000}"/>
    <cellStyle name="Output 5 3 3" xfId="3167" xr:uid="{00000000-0005-0000-0000-000063060000}"/>
    <cellStyle name="Output 5 4" xfId="982" xr:uid="{00000000-0005-0000-0000-000064060000}"/>
    <cellStyle name="Output 5 4 2" xfId="2378" xr:uid="{00000000-0005-0000-0000-000065060000}"/>
    <cellStyle name="Output 5 4 2 2" xfId="3968" xr:uid="{00000000-0005-0000-0000-000066060000}"/>
    <cellStyle name="Output 5 4 3" xfId="3168" xr:uid="{00000000-0005-0000-0000-000067060000}"/>
    <cellStyle name="Output 5 5" xfId="983" xr:uid="{00000000-0005-0000-0000-000068060000}"/>
    <cellStyle name="Output 5 5 2" xfId="2379" xr:uid="{00000000-0005-0000-0000-000069060000}"/>
    <cellStyle name="Output 5 5 2 2" xfId="3969" xr:uid="{00000000-0005-0000-0000-00006A060000}"/>
    <cellStyle name="Output 5 5 3" xfId="3169" xr:uid="{00000000-0005-0000-0000-00006B060000}"/>
    <cellStyle name="Output 5 6" xfId="984" xr:uid="{00000000-0005-0000-0000-00006C060000}"/>
    <cellStyle name="Output 5 6 2" xfId="2380" xr:uid="{00000000-0005-0000-0000-00006D060000}"/>
    <cellStyle name="Output 5 6 2 2" xfId="3970" xr:uid="{00000000-0005-0000-0000-00006E060000}"/>
    <cellStyle name="Output 5 6 3" xfId="3170" xr:uid="{00000000-0005-0000-0000-00006F060000}"/>
    <cellStyle name="Output 5 7" xfId="985" xr:uid="{00000000-0005-0000-0000-000070060000}"/>
    <cellStyle name="Output 5 7 2" xfId="2381" xr:uid="{00000000-0005-0000-0000-000071060000}"/>
    <cellStyle name="Output 5 7 2 2" xfId="3971" xr:uid="{00000000-0005-0000-0000-000072060000}"/>
    <cellStyle name="Output 5 7 3" xfId="3171" xr:uid="{00000000-0005-0000-0000-000073060000}"/>
    <cellStyle name="Output 5 8" xfId="986" xr:uid="{00000000-0005-0000-0000-000074060000}"/>
    <cellStyle name="Output 5 8 2" xfId="2382" xr:uid="{00000000-0005-0000-0000-000075060000}"/>
    <cellStyle name="Output 5 8 2 2" xfId="3972" xr:uid="{00000000-0005-0000-0000-000076060000}"/>
    <cellStyle name="Output 5 8 3" xfId="3172" xr:uid="{00000000-0005-0000-0000-000077060000}"/>
    <cellStyle name="Output 5 9" xfId="987" xr:uid="{00000000-0005-0000-0000-000078060000}"/>
    <cellStyle name="Output 5 9 2" xfId="2383" xr:uid="{00000000-0005-0000-0000-000079060000}"/>
    <cellStyle name="Output 5 9 2 2" xfId="3973" xr:uid="{00000000-0005-0000-0000-00007A060000}"/>
    <cellStyle name="Output 5 9 3" xfId="3173" xr:uid="{00000000-0005-0000-0000-00007B060000}"/>
    <cellStyle name="Output 6" xfId="988" xr:uid="{00000000-0005-0000-0000-00007C060000}"/>
    <cellStyle name="Output 6 2" xfId="2384" xr:uid="{00000000-0005-0000-0000-00007D060000}"/>
    <cellStyle name="Output 6 2 2" xfId="3974" xr:uid="{00000000-0005-0000-0000-00007E060000}"/>
    <cellStyle name="Output 6 3" xfId="3174" xr:uid="{00000000-0005-0000-0000-00007F060000}"/>
    <cellStyle name="Output 7" xfId="2325" xr:uid="{00000000-0005-0000-0000-000080060000}"/>
    <cellStyle name="Output 7 2" xfId="3915" xr:uid="{00000000-0005-0000-0000-000081060000}"/>
    <cellStyle name="Output 8" xfId="3115" xr:uid="{00000000-0005-0000-0000-000082060000}"/>
    <cellStyle name="Percent [2]" xfId="989" xr:uid="{00000000-0005-0000-0000-000083060000}"/>
    <cellStyle name="Percent [2] 2" xfId="990" xr:uid="{00000000-0005-0000-0000-000084060000}"/>
    <cellStyle name="Percent 10" xfId="991" xr:uid="{00000000-0005-0000-0000-000085060000}"/>
    <cellStyle name="Percent 11" xfId="992" xr:uid="{00000000-0005-0000-0000-000086060000}"/>
    <cellStyle name="Percent 12" xfId="993" xr:uid="{00000000-0005-0000-0000-000087060000}"/>
    <cellStyle name="Percent 13" xfId="994" xr:uid="{00000000-0005-0000-0000-000088060000}"/>
    <cellStyle name="Percent 14" xfId="995" xr:uid="{00000000-0005-0000-0000-000089060000}"/>
    <cellStyle name="Percent 15" xfId="996" xr:uid="{00000000-0005-0000-0000-00008A060000}"/>
    <cellStyle name="Percent 16" xfId="997" xr:uid="{00000000-0005-0000-0000-00008B060000}"/>
    <cellStyle name="Percent 2" xfId="998" xr:uid="{00000000-0005-0000-0000-00008C060000}"/>
    <cellStyle name="Percent 2 2" xfId="999" xr:uid="{00000000-0005-0000-0000-00008D060000}"/>
    <cellStyle name="Percent 2 3" xfId="1000" xr:uid="{00000000-0005-0000-0000-00008E060000}"/>
    <cellStyle name="Percent 3" xfId="1001" xr:uid="{00000000-0005-0000-0000-00008F060000}"/>
    <cellStyle name="Percent 4" xfId="1002" xr:uid="{00000000-0005-0000-0000-000090060000}"/>
    <cellStyle name="Percent 5" xfId="1003" xr:uid="{00000000-0005-0000-0000-000091060000}"/>
    <cellStyle name="Percent 6" xfId="1004" xr:uid="{00000000-0005-0000-0000-000092060000}"/>
    <cellStyle name="Percent 7" xfId="1005" xr:uid="{00000000-0005-0000-0000-000093060000}"/>
    <cellStyle name="Percent 8" xfId="1006" xr:uid="{00000000-0005-0000-0000-000094060000}"/>
    <cellStyle name="Percent 9" xfId="1007" xr:uid="{00000000-0005-0000-0000-000095060000}"/>
    <cellStyle name="Percent_K I L 11200-FTS-MC-IP12 (WTP)R1" xfId="1008" xr:uid="{00000000-0005-0000-0000-000096060000}"/>
    <cellStyle name="Reset  - Style7" xfId="1009" xr:uid="{00000000-0005-0000-0000-000097060000}"/>
    <cellStyle name="Reset  - Style7 2" xfId="1010" xr:uid="{00000000-0005-0000-0000-000098060000}"/>
    <cellStyle name="Star Rate" xfId="1011" xr:uid="{00000000-0005-0000-0000-000099060000}"/>
    <cellStyle name="StarRate" xfId="1012" xr:uid="{00000000-0005-0000-0000-00009A060000}"/>
    <cellStyle name="StarRate 2" xfId="1013" xr:uid="{00000000-0005-0000-0000-00009B060000}"/>
    <cellStyle name="StarRate 3" xfId="1014" xr:uid="{00000000-0005-0000-0000-00009C060000}"/>
    <cellStyle name="STYL1 - Style1" xfId="1015" xr:uid="{00000000-0005-0000-0000-00009D060000}"/>
    <cellStyle name="Table  - Style6" xfId="1016" xr:uid="{00000000-0005-0000-0000-00009E060000}"/>
    <cellStyle name="Table  - Style6 2" xfId="1017" xr:uid="{00000000-0005-0000-0000-00009F060000}"/>
    <cellStyle name="Table  - Style6 2 2" xfId="1018" xr:uid="{00000000-0005-0000-0000-0000A0060000}"/>
    <cellStyle name="Table  - Style6 2 2 10" xfId="1019" xr:uid="{00000000-0005-0000-0000-0000A1060000}"/>
    <cellStyle name="Table  - Style6 2 2 10 2" xfId="3178" xr:uid="{00000000-0005-0000-0000-0000A2060000}"/>
    <cellStyle name="Table  - Style6 2 2 11" xfId="1020" xr:uid="{00000000-0005-0000-0000-0000A3060000}"/>
    <cellStyle name="Table  - Style6 2 2 11 2" xfId="3179" xr:uid="{00000000-0005-0000-0000-0000A4060000}"/>
    <cellStyle name="Table  - Style6 2 2 12" xfId="1021" xr:uid="{00000000-0005-0000-0000-0000A5060000}"/>
    <cellStyle name="Table  - Style6 2 2 12 2" xfId="3180" xr:uid="{00000000-0005-0000-0000-0000A6060000}"/>
    <cellStyle name="Table  - Style6 2 2 13" xfId="1022" xr:uid="{00000000-0005-0000-0000-0000A7060000}"/>
    <cellStyle name="Table  - Style6 2 2 13 2" xfId="3181" xr:uid="{00000000-0005-0000-0000-0000A8060000}"/>
    <cellStyle name="Table  - Style6 2 2 14" xfId="3177" xr:uid="{00000000-0005-0000-0000-0000A9060000}"/>
    <cellStyle name="Table  - Style6 2 2 2" xfId="1023" xr:uid="{00000000-0005-0000-0000-0000AA060000}"/>
    <cellStyle name="Table  - Style6 2 2 2 2" xfId="3182" xr:uid="{00000000-0005-0000-0000-0000AB060000}"/>
    <cellStyle name="Table  - Style6 2 2 3" xfId="1024" xr:uid="{00000000-0005-0000-0000-0000AC060000}"/>
    <cellStyle name="Table  - Style6 2 2 3 2" xfId="3183" xr:uid="{00000000-0005-0000-0000-0000AD060000}"/>
    <cellStyle name="Table  - Style6 2 2 4" xfId="1025" xr:uid="{00000000-0005-0000-0000-0000AE060000}"/>
    <cellStyle name="Table  - Style6 2 2 4 2" xfId="3184" xr:uid="{00000000-0005-0000-0000-0000AF060000}"/>
    <cellStyle name="Table  - Style6 2 2 5" xfId="1026" xr:uid="{00000000-0005-0000-0000-0000B0060000}"/>
    <cellStyle name="Table  - Style6 2 2 5 2" xfId="3185" xr:uid="{00000000-0005-0000-0000-0000B1060000}"/>
    <cellStyle name="Table  - Style6 2 2 6" xfId="1027" xr:uid="{00000000-0005-0000-0000-0000B2060000}"/>
    <cellStyle name="Table  - Style6 2 2 6 2" xfId="3186" xr:uid="{00000000-0005-0000-0000-0000B3060000}"/>
    <cellStyle name="Table  - Style6 2 2 7" xfId="1028" xr:uid="{00000000-0005-0000-0000-0000B4060000}"/>
    <cellStyle name="Table  - Style6 2 2 7 2" xfId="3187" xr:uid="{00000000-0005-0000-0000-0000B5060000}"/>
    <cellStyle name="Table  - Style6 2 2 8" xfId="1029" xr:uid="{00000000-0005-0000-0000-0000B6060000}"/>
    <cellStyle name="Table  - Style6 2 2 8 2" xfId="3188" xr:uid="{00000000-0005-0000-0000-0000B7060000}"/>
    <cellStyle name="Table  - Style6 2 2 9" xfId="1030" xr:uid="{00000000-0005-0000-0000-0000B8060000}"/>
    <cellStyle name="Table  - Style6 2 2 9 2" xfId="3189" xr:uid="{00000000-0005-0000-0000-0000B9060000}"/>
    <cellStyle name="Table  - Style6 2 3" xfId="1031" xr:uid="{00000000-0005-0000-0000-0000BA060000}"/>
    <cellStyle name="Table  - Style6 2 3 10" xfId="1032" xr:uid="{00000000-0005-0000-0000-0000BB060000}"/>
    <cellStyle name="Table  - Style6 2 3 10 2" xfId="3191" xr:uid="{00000000-0005-0000-0000-0000BC060000}"/>
    <cellStyle name="Table  - Style6 2 3 11" xfId="1033" xr:uid="{00000000-0005-0000-0000-0000BD060000}"/>
    <cellStyle name="Table  - Style6 2 3 11 2" xfId="3192" xr:uid="{00000000-0005-0000-0000-0000BE060000}"/>
    <cellStyle name="Table  - Style6 2 3 12" xfId="1034" xr:uid="{00000000-0005-0000-0000-0000BF060000}"/>
    <cellStyle name="Table  - Style6 2 3 12 2" xfId="3193" xr:uid="{00000000-0005-0000-0000-0000C0060000}"/>
    <cellStyle name="Table  - Style6 2 3 13" xfId="1035" xr:uid="{00000000-0005-0000-0000-0000C1060000}"/>
    <cellStyle name="Table  - Style6 2 3 13 2" xfId="3194" xr:uid="{00000000-0005-0000-0000-0000C2060000}"/>
    <cellStyle name="Table  - Style6 2 3 14" xfId="3190" xr:uid="{00000000-0005-0000-0000-0000C3060000}"/>
    <cellStyle name="Table  - Style6 2 3 2" xfId="1036" xr:uid="{00000000-0005-0000-0000-0000C4060000}"/>
    <cellStyle name="Table  - Style6 2 3 2 2" xfId="3195" xr:uid="{00000000-0005-0000-0000-0000C5060000}"/>
    <cellStyle name="Table  - Style6 2 3 3" xfId="1037" xr:uid="{00000000-0005-0000-0000-0000C6060000}"/>
    <cellStyle name="Table  - Style6 2 3 3 2" xfId="3196" xr:uid="{00000000-0005-0000-0000-0000C7060000}"/>
    <cellStyle name="Table  - Style6 2 3 4" xfId="1038" xr:uid="{00000000-0005-0000-0000-0000C8060000}"/>
    <cellStyle name="Table  - Style6 2 3 4 2" xfId="3197" xr:uid="{00000000-0005-0000-0000-0000C9060000}"/>
    <cellStyle name="Table  - Style6 2 3 5" xfId="1039" xr:uid="{00000000-0005-0000-0000-0000CA060000}"/>
    <cellStyle name="Table  - Style6 2 3 5 2" xfId="3198" xr:uid="{00000000-0005-0000-0000-0000CB060000}"/>
    <cellStyle name="Table  - Style6 2 3 6" xfId="1040" xr:uid="{00000000-0005-0000-0000-0000CC060000}"/>
    <cellStyle name="Table  - Style6 2 3 6 2" xfId="3199" xr:uid="{00000000-0005-0000-0000-0000CD060000}"/>
    <cellStyle name="Table  - Style6 2 3 7" xfId="1041" xr:uid="{00000000-0005-0000-0000-0000CE060000}"/>
    <cellStyle name="Table  - Style6 2 3 7 2" xfId="3200" xr:uid="{00000000-0005-0000-0000-0000CF060000}"/>
    <cellStyle name="Table  - Style6 2 3 8" xfId="1042" xr:uid="{00000000-0005-0000-0000-0000D0060000}"/>
    <cellStyle name="Table  - Style6 2 3 8 2" xfId="3201" xr:uid="{00000000-0005-0000-0000-0000D1060000}"/>
    <cellStyle name="Table  - Style6 2 3 9" xfId="1043" xr:uid="{00000000-0005-0000-0000-0000D2060000}"/>
    <cellStyle name="Table  - Style6 2 3 9 2" xfId="3202" xr:uid="{00000000-0005-0000-0000-0000D3060000}"/>
    <cellStyle name="Table  - Style6 2 4" xfId="1044" xr:uid="{00000000-0005-0000-0000-0000D4060000}"/>
    <cellStyle name="Table  - Style6 2 4 2" xfId="3203" xr:uid="{00000000-0005-0000-0000-0000D5060000}"/>
    <cellStyle name="Table  - Style6 2 5" xfId="3176" xr:uid="{00000000-0005-0000-0000-0000D6060000}"/>
    <cellStyle name="Table  - Style6 3" xfId="1045" xr:uid="{00000000-0005-0000-0000-0000D7060000}"/>
    <cellStyle name="Table  - Style6 3 10" xfId="1046" xr:uid="{00000000-0005-0000-0000-0000D8060000}"/>
    <cellStyle name="Table  - Style6 3 10 2" xfId="3205" xr:uid="{00000000-0005-0000-0000-0000D9060000}"/>
    <cellStyle name="Table  - Style6 3 11" xfId="1047" xr:uid="{00000000-0005-0000-0000-0000DA060000}"/>
    <cellStyle name="Table  - Style6 3 11 2" xfId="3206" xr:uid="{00000000-0005-0000-0000-0000DB060000}"/>
    <cellStyle name="Table  - Style6 3 12" xfId="1048" xr:uid="{00000000-0005-0000-0000-0000DC060000}"/>
    <cellStyle name="Table  - Style6 3 12 2" xfId="3207" xr:uid="{00000000-0005-0000-0000-0000DD060000}"/>
    <cellStyle name="Table  - Style6 3 13" xfId="1049" xr:uid="{00000000-0005-0000-0000-0000DE060000}"/>
    <cellStyle name="Table  - Style6 3 13 2" xfId="3208" xr:uid="{00000000-0005-0000-0000-0000DF060000}"/>
    <cellStyle name="Table  - Style6 3 14" xfId="3204" xr:uid="{00000000-0005-0000-0000-0000E0060000}"/>
    <cellStyle name="Table  - Style6 3 2" xfId="1050" xr:uid="{00000000-0005-0000-0000-0000E1060000}"/>
    <cellStyle name="Table  - Style6 3 2 2" xfId="3209" xr:uid="{00000000-0005-0000-0000-0000E2060000}"/>
    <cellStyle name="Table  - Style6 3 3" xfId="1051" xr:uid="{00000000-0005-0000-0000-0000E3060000}"/>
    <cellStyle name="Table  - Style6 3 3 2" xfId="3210" xr:uid="{00000000-0005-0000-0000-0000E4060000}"/>
    <cellStyle name="Table  - Style6 3 4" xfId="1052" xr:uid="{00000000-0005-0000-0000-0000E5060000}"/>
    <cellStyle name="Table  - Style6 3 4 2" xfId="3211" xr:uid="{00000000-0005-0000-0000-0000E6060000}"/>
    <cellStyle name="Table  - Style6 3 5" xfId="1053" xr:uid="{00000000-0005-0000-0000-0000E7060000}"/>
    <cellStyle name="Table  - Style6 3 5 2" xfId="3212" xr:uid="{00000000-0005-0000-0000-0000E8060000}"/>
    <cellStyle name="Table  - Style6 3 6" xfId="1054" xr:uid="{00000000-0005-0000-0000-0000E9060000}"/>
    <cellStyle name="Table  - Style6 3 6 2" xfId="3213" xr:uid="{00000000-0005-0000-0000-0000EA060000}"/>
    <cellStyle name="Table  - Style6 3 7" xfId="1055" xr:uid="{00000000-0005-0000-0000-0000EB060000}"/>
    <cellStyle name="Table  - Style6 3 7 2" xfId="3214" xr:uid="{00000000-0005-0000-0000-0000EC060000}"/>
    <cellStyle name="Table  - Style6 3 8" xfId="1056" xr:uid="{00000000-0005-0000-0000-0000ED060000}"/>
    <cellStyle name="Table  - Style6 3 8 2" xfId="3215" xr:uid="{00000000-0005-0000-0000-0000EE060000}"/>
    <cellStyle name="Table  - Style6 3 9" xfId="1057" xr:uid="{00000000-0005-0000-0000-0000EF060000}"/>
    <cellStyle name="Table  - Style6 3 9 2" xfId="3216" xr:uid="{00000000-0005-0000-0000-0000F0060000}"/>
    <cellStyle name="Table  - Style6 4" xfId="1058" xr:uid="{00000000-0005-0000-0000-0000F1060000}"/>
    <cellStyle name="Table  - Style6 4 10" xfId="1059" xr:uid="{00000000-0005-0000-0000-0000F2060000}"/>
    <cellStyle name="Table  - Style6 4 10 2" xfId="3218" xr:uid="{00000000-0005-0000-0000-0000F3060000}"/>
    <cellStyle name="Table  - Style6 4 11" xfId="1060" xr:uid="{00000000-0005-0000-0000-0000F4060000}"/>
    <cellStyle name="Table  - Style6 4 11 2" xfId="3219" xr:uid="{00000000-0005-0000-0000-0000F5060000}"/>
    <cellStyle name="Table  - Style6 4 12" xfId="1061" xr:uid="{00000000-0005-0000-0000-0000F6060000}"/>
    <cellStyle name="Table  - Style6 4 12 2" xfId="3220" xr:uid="{00000000-0005-0000-0000-0000F7060000}"/>
    <cellStyle name="Table  - Style6 4 13" xfId="1062" xr:uid="{00000000-0005-0000-0000-0000F8060000}"/>
    <cellStyle name="Table  - Style6 4 13 2" xfId="3221" xr:uid="{00000000-0005-0000-0000-0000F9060000}"/>
    <cellStyle name="Table  - Style6 4 14" xfId="3217" xr:uid="{00000000-0005-0000-0000-0000FA060000}"/>
    <cellStyle name="Table  - Style6 4 2" xfId="1063" xr:uid="{00000000-0005-0000-0000-0000FB060000}"/>
    <cellStyle name="Table  - Style6 4 2 2" xfId="3222" xr:uid="{00000000-0005-0000-0000-0000FC060000}"/>
    <cellStyle name="Table  - Style6 4 3" xfId="1064" xr:uid="{00000000-0005-0000-0000-0000FD060000}"/>
    <cellStyle name="Table  - Style6 4 3 2" xfId="3223" xr:uid="{00000000-0005-0000-0000-0000FE060000}"/>
    <cellStyle name="Table  - Style6 4 4" xfId="1065" xr:uid="{00000000-0005-0000-0000-0000FF060000}"/>
    <cellStyle name="Table  - Style6 4 4 2" xfId="3224" xr:uid="{00000000-0005-0000-0000-000000070000}"/>
    <cellStyle name="Table  - Style6 4 5" xfId="1066" xr:uid="{00000000-0005-0000-0000-000001070000}"/>
    <cellStyle name="Table  - Style6 4 5 2" xfId="3225" xr:uid="{00000000-0005-0000-0000-000002070000}"/>
    <cellStyle name="Table  - Style6 4 6" xfId="1067" xr:uid="{00000000-0005-0000-0000-000003070000}"/>
    <cellStyle name="Table  - Style6 4 6 2" xfId="3226" xr:uid="{00000000-0005-0000-0000-000004070000}"/>
    <cellStyle name="Table  - Style6 4 7" xfId="1068" xr:uid="{00000000-0005-0000-0000-000005070000}"/>
    <cellStyle name="Table  - Style6 4 7 2" xfId="3227" xr:uid="{00000000-0005-0000-0000-000006070000}"/>
    <cellStyle name="Table  - Style6 4 8" xfId="1069" xr:uid="{00000000-0005-0000-0000-000007070000}"/>
    <cellStyle name="Table  - Style6 4 8 2" xfId="3228" xr:uid="{00000000-0005-0000-0000-000008070000}"/>
    <cellStyle name="Table  - Style6 4 9" xfId="1070" xr:uid="{00000000-0005-0000-0000-000009070000}"/>
    <cellStyle name="Table  - Style6 4 9 2" xfId="3229" xr:uid="{00000000-0005-0000-0000-00000A070000}"/>
    <cellStyle name="Table  - Style6 5" xfId="1071" xr:uid="{00000000-0005-0000-0000-00000B070000}"/>
    <cellStyle name="Table  - Style6 5 2" xfId="3230" xr:uid="{00000000-0005-0000-0000-00000C070000}"/>
    <cellStyle name="Table  - Style6 6" xfId="3175" xr:uid="{00000000-0005-0000-0000-00000D070000}"/>
    <cellStyle name="TableStyleLight1" xfId="1072" xr:uid="{00000000-0005-0000-0000-00000E070000}"/>
    <cellStyle name="Thousand" xfId="1073" xr:uid="{00000000-0005-0000-0000-00000F070000}"/>
    <cellStyle name="Thousand [0]" xfId="1074" xr:uid="{00000000-0005-0000-0000-000010070000}"/>
    <cellStyle name="Thousand [0] 2" xfId="1075" xr:uid="{00000000-0005-0000-0000-000011070000}"/>
    <cellStyle name="Thousand 2" xfId="1076" xr:uid="{00000000-0005-0000-0000-000012070000}"/>
    <cellStyle name="Title" xfId="1077" xr:uid="{00000000-0005-0000-0000-000013070000}"/>
    <cellStyle name="Title  - Style1" xfId="1078" xr:uid="{00000000-0005-0000-0000-000014070000}"/>
    <cellStyle name="Title  - Style1 2" xfId="1079" xr:uid="{00000000-0005-0000-0000-000015070000}"/>
    <cellStyle name="Title  - Style1 2 2" xfId="1080" xr:uid="{00000000-0005-0000-0000-000016070000}"/>
    <cellStyle name="Title  - Style1 2 3" xfId="1081" xr:uid="{00000000-0005-0000-0000-000017070000}"/>
    <cellStyle name="Title 2" xfId="1082" xr:uid="{00000000-0005-0000-0000-000018070000}"/>
    <cellStyle name="Title 3" xfId="1083" xr:uid="{00000000-0005-0000-0000-000019070000}"/>
    <cellStyle name="Title_130427-Adj.Prov.Qty of Structural(WTP)" xfId="1084" xr:uid="{00000000-0005-0000-0000-00001A070000}"/>
    <cellStyle name="Total" xfId="1085" xr:uid="{00000000-0005-0000-0000-00001B070000}"/>
    <cellStyle name="Total 2" xfId="1086" xr:uid="{00000000-0005-0000-0000-00001C070000}"/>
    <cellStyle name="Total 2 2" xfId="1087" xr:uid="{00000000-0005-0000-0000-00001D070000}"/>
    <cellStyle name="Total 2 2 10" xfId="1088" xr:uid="{00000000-0005-0000-0000-00001E070000}"/>
    <cellStyle name="Total 2 2 10 2" xfId="2388" xr:uid="{00000000-0005-0000-0000-00001F070000}"/>
    <cellStyle name="Total 2 2 10 2 2" xfId="3978" xr:uid="{00000000-0005-0000-0000-000020070000}"/>
    <cellStyle name="Total 2 2 10 3" xfId="3234" xr:uid="{00000000-0005-0000-0000-000021070000}"/>
    <cellStyle name="Total 2 2 11" xfId="1089" xr:uid="{00000000-0005-0000-0000-000022070000}"/>
    <cellStyle name="Total 2 2 11 2" xfId="2389" xr:uid="{00000000-0005-0000-0000-000023070000}"/>
    <cellStyle name="Total 2 2 11 2 2" xfId="3979" xr:uid="{00000000-0005-0000-0000-000024070000}"/>
    <cellStyle name="Total 2 2 11 3" xfId="3235" xr:uid="{00000000-0005-0000-0000-000025070000}"/>
    <cellStyle name="Total 2 2 12" xfId="1090" xr:uid="{00000000-0005-0000-0000-000026070000}"/>
    <cellStyle name="Total 2 2 12 2" xfId="2390" xr:uid="{00000000-0005-0000-0000-000027070000}"/>
    <cellStyle name="Total 2 2 12 2 2" xfId="3980" xr:uid="{00000000-0005-0000-0000-000028070000}"/>
    <cellStyle name="Total 2 2 12 3" xfId="3236" xr:uid="{00000000-0005-0000-0000-000029070000}"/>
    <cellStyle name="Total 2 2 13" xfId="1091" xr:uid="{00000000-0005-0000-0000-00002A070000}"/>
    <cellStyle name="Total 2 2 13 2" xfId="2391" xr:uid="{00000000-0005-0000-0000-00002B070000}"/>
    <cellStyle name="Total 2 2 13 2 2" xfId="3981" xr:uid="{00000000-0005-0000-0000-00002C070000}"/>
    <cellStyle name="Total 2 2 13 3" xfId="3237" xr:uid="{00000000-0005-0000-0000-00002D070000}"/>
    <cellStyle name="Total 2 2 14" xfId="2387" xr:uid="{00000000-0005-0000-0000-00002E070000}"/>
    <cellStyle name="Total 2 2 14 2" xfId="3977" xr:uid="{00000000-0005-0000-0000-00002F070000}"/>
    <cellStyle name="Total 2 2 15" xfId="3233" xr:uid="{00000000-0005-0000-0000-000030070000}"/>
    <cellStyle name="Total 2 2 2" xfId="1092" xr:uid="{00000000-0005-0000-0000-000031070000}"/>
    <cellStyle name="Total 2 2 2 2" xfId="2392" xr:uid="{00000000-0005-0000-0000-000032070000}"/>
    <cellStyle name="Total 2 2 2 2 2" xfId="3982" xr:uid="{00000000-0005-0000-0000-000033070000}"/>
    <cellStyle name="Total 2 2 2 3" xfId="3238" xr:uid="{00000000-0005-0000-0000-000034070000}"/>
    <cellStyle name="Total 2 2 3" xfId="1093" xr:uid="{00000000-0005-0000-0000-000035070000}"/>
    <cellStyle name="Total 2 2 3 2" xfId="2393" xr:uid="{00000000-0005-0000-0000-000036070000}"/>
    <cellStyle name="Total 2 2 3 2 2" xfId="3983" xr:uid="{00000000-0005-0000-0000-000037070000}"/>
    <cellStyle name="Total 2 2 3 3" xfId="3239" xr:uid="{00000000-0005-0000-0000-000038070000}"/>
    <cellStyle name="Total 2 2 4" xfId="1094" xr:uid="{00000000-0005-0000-0000-000039070000}"/>
    <cellStyle name="Total 2 2 4 2" xfId="2394" xr:uid="{00000000-0005-0000-0000-00003A070000}"/>
    <cellStyle name="Total 2 2 4 2 2" xfId="3984" xr:uid="{00000000-0005-0000-0000-00003B070000}"/>
    <cellStyle name="Total 2 2 4 3" xfId="3240" xr:uid="{00000000-0005-0000-0000-00003C070000}"/>
    <cellStyle name="Total 2 2 5" xfId="1095" xr:uid="{00000000-0005-0000-0000-00003D070000}"/>
    <cellStyle name="Total 2 2 5 2" xfId="2395" xr:uid="{00000000-0005-0000-0000-00003E070000}"/>
    <cellStyle name="Total 2 2 5 2 2" xfId="3985" xr:uid="{00000000-0005-0000-0000-00003F070000}"/>
    <cellStyle name="Total 2 2 5 3" xfId="3241" xr:uid="{00000000-0005-0000-0000-000040070000}"/>
    <cellStyle name="Total 2 2 6" xfId="1096" xr:uid="{00000000-0005-0000-0000-000041070000}"/>
    <cellStyle name="Total 2 2 6 2" xfId="2396" xr:uid="{00000000-0005-0000-0000-000042070000}"/>
    <cellStyle name="Total 2 2 6 2 2" xfId="3986" xr:uid="{00000000-0005-0000-0000-000043070000}"/>
    <cellStyle name="Total 2 2 6 3" xfId="3242" xr:uid="{00000000-0005-0000-0000-000044070000}"/>
    <cellStyle name="Total 2 2 7" xfId="1097" xr:uid="{00000000-0005-0000-0000-000045070000}"/>
    <cellStyle name="Total 2 2 7 2" xfId="2397" xr:uid="{00000000-0005-0000-0000-000046070000}"/>
    <cellStyle name="Total 2 2 7 2 2" xfId="3987" xr:uid="{00000000-0005-0000-0000-000047070000}"/>
    <cellStyle name="Total 2 2 7 3" xfId="3243" xr:uid="{00000000-0005-0000-0000-000048070000}"/>
    <cellStyle name="Total 2 2 8" xfId="1098" xr:uid="{00000000-0005-0000-0000-000049070000}"/>
    <cellStyle name="Total 2 2 8 2" xfId="2398" xr:uid="{00000000-0005-0000-0000-00004A070000}"/>
    <cellStyle name="Total 2 2 8 2 2" xfId="3988" xr:uid="{00000000-0005-0000-0000-00004B070000}"/>
    <cellStyle name="Total 2 2 8 3" xfId="3244" xr:uid="{00000000-0005-0000-0000-00004C070000}"/>
    <cellStyle name="Total 2 2 9" xfId="1099" xr:uid="{00000000-0005-0000-0000-00004D070000}"/>
    <cellStyle name="Total 2 2 9 2" xfId="2399" xr:uid="{00000000-0005-0000-0000-00004E070000}"/>
    <cellStyle name="Total 2 2 9 2 2" xfId="3989" xr:uid="{00000000-0005-0000-0000-00004F070000}"/>
    <cellStyle name="Total 2 2 9 3" xfId="3245" xr:uid="{00000000-0005-0000-0000-000050070000}"/>
    <cellStyle name="Total 2 3" xfId="1100" xr:uid="{00000000-0005-0000-0000-000051070000}"/>
    <cellStyle name="Total 2 3 2" xfId="2400" xr:uid="{00000000-0005-0000-0000-000052070000}"/>
    <cellStyle name="Total 2 3 2 2" xfId="3990" xr:uid="{00000000-0005-0000-0000-000053070000}"/>
    <cellStyle name="Total 2 3 3" xfId="3246" xr:uid="{00000000-0005-0000-0000-000054070000}"/>
    <cellStyle name="Total 2 4" xfId="2386" xr:uid="{00000000-0005-0000-0000-000055070000}"/>
    <cellStyle name="Total 2 4 2" xfId="3976" xr:uid="{00000000-0005-0000-0000-000056070000}"/>
    <cellStyle name="Total 2 5" xfId="3232" xr:uid="{00000000-0005-0000-0000-000057070000}"/>
    <cellStyle name="Total 3" xfId="1101" xr:uid="{00000000-0005-0000-0000-000058070000}"/>
    <cellStyle name="Total 3 2" xfId="1102" xr:uid="{00000000-0005-0000-0000-000059070000}"/>
    <cellStyle name="Total 3 2 10" xfId="1103" xr:uid="{00000000-0005-0000-0000-00005A070000}"/>
    <cellStyle name="Total 3 2 10 2" xfId="2403" xr:uid="{00000000-0005-0000-0000-00005B070000}"/>
    <cellStyle name="Total 3 2 10 2 2" xfId="3993" xr:uid="{00000000-0005-0000-0000-00005C070000}"/>
    <cellStyle name="Total 3 2 10 3" xfId="3249" xr:uid="{00000000-0005-0000-0000-00005D070000}"/>
    <cellStyle name="Total 3 2 11" xfId="1104" xr:uid="{00000000-0005-0000-0000-00005E070000}"/>
    <cellStyle name="Total 3 2 11 2" xfId="2404" xr:uid="{00000000-0005-0000-0000-00005F070000}"/>
    <cellStyle name="Total 3 2 11 2 2" xfId="3994" xr:uid="{00000000-0005-0000-0000-000060070000}"/>
    <cellStyle name="Total 3 2 11 3" xfId="3250" xr:uid="{00000000-0005-0000-0000-000061070000}"/>
    <cellStyle name="Total 3 2 12" xfId="1105" xr:uid="{00000000-0005-0000-0000-000062070000}"/>
    <cellStyle name="Total 3 2 12 2" xfId="2405" xr:uid="{00000000-0005-0000-0000-000063070000}"/>
    <cellStyle name="Total 3 2 12 2 2" xfId="3995" xr:uid="{00000000-0005-0000-0000-000064070000}"/>
    <cellStyle name="Total 3 2 12 3" xfId="3251" xr:uid="{00000000-0005-0000-0000-000065070000}"/>
    <cellStyle name="Total 3 2 13" xfId="1106" xr:uid="{00000000-0005-0000-0000-000066070000}"/>
    <cellStyle name="Total 3 2 13 2" xfId="2406" xr:uid="{00000000-0005-0000-0000-000067070000}"/>
    <cellStyle name="Total 3 2 13 2 2" xfId="3996" xr:uid="{00000000-0005-0000-0000-000068070000}"/>
    <cellStyle name="Total 3 2 13 3" xfId="3252" xr:uid="{00000000-0005-0000-0000-000069070000}"/>
    <cellStyle name="Total 3 2 14" xfId="2402" xr:uid="{00000000-0005-0000-0000-00006A070000}"/>
    <cellStyle name="Total 3 2 14 2" xfId="3992" xr:uid="{00000000-0005-0000-0000-00006B070000}"/>
    <cellStyle name="Total 3 2 15" xfId="3248" xr:uid="{00000000-0005-0000-0000-00006C070000}"/>
    <cellStyle name="Total 3 2 2" xfId="1107" xr:uid="{00000000-0005-0000-0000-00006D070000}"/>
    <cellStyle name="Total 3 2 2 2" xfId="2407" xr:uid="{00000000-0005-0000-0000-00006E070000}"/>
    <cellStyle name="Total 3 2 2 2 2" xfId="3997" xr:uid="{00000000-0005-0000-0000-00006F070000}"/>
    <cellStyle name="Total 3 2 2 3" xfId="3253" xr:uid="{00000000-0005-0000-0000-000070070000}"/>
    <cellStyle name="Total 3 2 3" xfId="1108" xr:uid="{00000000-0005-0000-0000-000071070000}"/>
    <cellStyle name="Total 3 2 3 2" xfId="2408" xr:uid="{00000000-0005-0000-0000-000072070000}"/>
    <cellStyle name="Total 3 2 3 2 2" xfId="3998" xr:uid="{00000000-0005-0000-0000-000073070000}"/>
    <cellStyle name="Total 3 2 3 3" xfId="3254" xr:uid="{00000000-0005-0000-0000-000074070000}"/>
    <cellStyle name="Total 3 2 4" xfId="1109" xr:uid="{00000000-0005-0000-0000-000075070000}"/>
    <cellStyle name="Total 3 2 4 2" xfId="2409" xr:uid="{00000000-0005-0000-0000-000076070000}"/>
    <cellStyle name="Total 3 2 4 2 2" xfId="3999" xr:uid="{00000000-0005-0000-0000-000077070000}"/>
    <cellStyle name="Total 3 2 4 3" xfId="3255" xr:uid="{00000000-0005-0000-0000-000078070000}"/>
    <cellStyle name="Total 3 2 5" xfId="1110" xr:uid="{00000000-0005-0000-0000-000079070000}"/>
    <cellStyle name="Total 3 2 5 2" xfId="2410" xr:uid="{00000000-0005-0000-0000-00007A070000}"/>
    <cellStyle name="Total 3 2 5 2 2" xfId="4000" xr:uid="{00000000-0005-0000-0000-00007B070000}"/>
    <cellStyle name="Total 3 2 5 3" xfId="3256" xr:uid="{00000000-0005-0000-0000-00007C070000}"/>
    <cellStyle name="Total 3 2 6" xfId="1111" xr:uid="{00000000-0005-0000-0000-00007D070000}"/>
    <cellStyle name="Total 3 2 6 2" xfId="2411" xr:uid="{00000000-0005-0000-0000-00007E070000}"/>
    <cellStyle name="Total 3 2 6 2 2" xfId="4001" xr:uid="{00000000-0005-0000-0000-00007F070000}"/>
    <cellStyle name="Total 3 2 6 3" xfId="3257" xr:uid="{00000000-0005-0000-0000-000080070000}"/>
    <cellStyle name="Total 3 2 7" xfId="1112" xr:uid="{00000000-0005-0000-0000-000081070000}"/>
    <cellStyle name="Total 3 2 7 2" xfId="2412" xr:uid="{00000000-0005-0000-0000-000082070000}"/>
    <cellStyle name="Total 3 2 7 2 2" xfId="4002" xr:uid="{00000000-0005-0000-0000-000083070000}"/>
    <cellStyle name="Total 3 2 7 3" xfId="3258" xr:uid="{00000000-0005-0000-0000-000084070000}"/>
    <cellStyle name="Total 3 2 8" xfId="1113" xr:uid="{00000000-0005-0000-0000-000085070000}"/>
    <cellStyle name="Total 3 2 8 2" xfId="2413" xr:uid="{00000000-0005-0000-0000-000086070000}"/>
    <cellStyle name="Total 3 2 8 2 2" xfId="4003" xr:uid="{00000000-0005-0000-0000-000087070000}"/>
    <cellStyle name="Total 3 2 8 3" xfId="3259" xr:uid="{00000000-0005-0000-0000-000088070000}"/>
    <cellStyle name="Total 3 2 9" xfId="1114" xr:uid="{00000000-0005-0000-0000-000089070000}"/>
    <cellStyle name="Total 3 2 9 2" xfId="2414" xr:uid="{00000000-0005-0000-0000-00008A070000}"/>
    <cellStyle name="Total 3 2 9 2 2" xfId="4004" xr:uid="{00000000-0005-0000-0000-00008B070000}"/>
    <cellStyle name="Total 3 2 9 3" xfId="3260" xr:uid="{00000000-0005-0000-0000-00008C070000}"/>
    <cellStyle name="Total 3 3" xfId="1115" xr:uid="{00000000-0005-0000-0000-00008D070000}"/>
    <cellStyle name="Total 3 3 2" xfId="2415" xr:uid="{00000000-0005-0000-0000-00008E070000}"/>
    <cellStyle name="Total 3 3 2 2" xfId="4005" xr:uid="{00000000-0005-0000-0000-00008F070000}"/>
    <cellStyle name="Total 3 3 3" xfId="3261" xr:uid="{00000000-0005-0000-0000-000090070000}"/>
    <cellStyle name="Total 3 4" xfId="2401" xr:uid="{00000000-0005-0000-0000-000091070000}"/>
    <cellStyle name="Total 3 4 2" xfId="3991" xr:uid="{00000000-0005-0000-0000-000092070000}"/>
    <cellStyle name="Total 3 5" xfId="3247" xr:uid="{00000000-0005-0000-0000-000093070000}"/>
    <cellStyle name="Total 4" xfId="1116" xr:uid="{00000000-0005-0000-0000-000094070000}"/>
    <cellStyle name="Total 4 2" xfId="1117" xr:uid="{00000000-0005-0000-0000-000095070000}"/>
    <cellStyle name="Total 4 2 10" xfId="1118" xr:uid="{00000000-0005-0000-0000-000096070000}"/>
    <cellStyle name="Total 4 2 10 2" xfId="2418" xr:uid="{00000000-0005-0000-0000-000097070000}"/>
    <cellStyle name="Total 4 2 10 2 2" xfId="4008" xr:uid="{00000000-0005-0000-0000-000098070000}"/>
    <cellStyle name="Total 4 2 10 3" xfId="3264" xr:uid="{00000000-0005-0000-0000-000099070000}"/>
    <cellStyle name="Total 4 2 11" xfId="1119" xr:uid="{00000000-0005-0000-0000-00009A070000}"/>
    <cellStyle name="Total 4 2 11 2" xfId="2419" xr:uid="{00000000-0005-0000-0000-00009B070000}"/>
    <cellStyle name="Total 4 2 11 2 2" xfId="4009" xr:uid="{00000000-0005-0000-0000-00009C070000}"/>
    <cellStyle name="Total 4 2 11 3" xfId="3265" xr:uid="{00000000-0005-0000-0000-00009D070000}"/>
    <cellStyle name="Total 4 2 12" xfId="1120" xr:uid="{00000000-0005-0000-0000-00009E070000}"/>
    <cellStyle name="Total 4 2 12 2" xfId="2420" xr:uid="{00000000-0005-0000-0000-00009F070000}"/>
    <cellStyle name="Total 4 2 12 2 2" xfId="4010" xr:uid="{00000000-0005-0000-0000-0000A0070000}"/>
    <cellStyle name="Total 4 2 12 3" xfId="3266" xr:uid="{00000000-0005-0000-0000-0000A1070000}"/>
    <cellStyle name="Total 4 2 13" xfId="1121" xr:uid="{00000000-0005-0000-0000-0000A2070000}"/>
    <cellStyle name="Total 4 2 13 2" xfId="2421" xr:uid="{00000000-0005-0000-0000-0000A3070000}"/>
    <cellStyle name="Total 4 2 13 2 2" xfId="4011" xr:uid="{00000000-0005-0000-0000-0000A4070000}"/>
    <cellStyle name="Total 4 2 13 3" xfId="3267" xr:uid="{00000000-0005-0000-0000-0000A5070000}"/>
    <cellStyle name="Total 4 2 14" xfId="2417" xr:uid="{00000000-0005-0000-0000-0000A6070000}"/>
    <cellStyle name="Total 4 2 14 2" xfId="4007" xr:uid="{00000000-0005-0000-0000-0000A7070000}"/>
    <cellStyle name="Total 4 2 15" xfId="3263" xr:uid="{00000000-0005-0000-0000-0000A8070000}"/>
    <cellStyle name="Total 4 2 2" xfId="1122" xr:uid="{00000000-0005-0000-0000-0000A9070000}"/>
    <cellStyle name="Total 4 2 2 2" xfId="2422" xr:uid="{00000000-0005-0000-0000-0000AA070000}"/>
    <cellStyle name="Total 4 2 2 2 2" xfId="4012" xr:uid="{00000000-0005-0000-0000-0000AB070000}"/>
    <cellStyle name="Total 4 2 2 3" xfId="3268" xr:uid="{00000000-0005-0000-0000-0000AC070000}"/>
    <cellStyle name="Total 4 2 3" xfId="1123" xr:uid="{00000000-0005-0000-0000-0000AD070000}"/>
    <cellStyle name="Total 4 2 3 2" xfId="2423" xr:uid="{00000000-0005-0000-0000-0000AE070000}"/>
    <cellStyle name="Total 4 2 3 2 2" xfId="4013" xr:uid="{00000000-0005-0000-0000-0000AF070000}"/>
    <cellStyle name="Total 4 2 3 3" xfId="3269" xr:uid="{00000000-0005-0000-0000-0000B0070000}"/>
    <cellStyle name="Total 4 2 4" xfId="1124" xr:uid="{00000000-0005-0000-0000-0000B1070000}"/>
    <cellStyle name="Total 4 2 4 2" xfId="2424" xr:uid="{00000000-0005-0000-0000-0000B2070000}"/>
    <cellStyle name="Total 4 2 4 2 2" xfId="4014" xr:uid="{00000000-0005-0000-0000-0000B3070000}"/>
    <cellStyle name="Total 4 2 4 3" xfId="3270" xr:uid="{00000000-0005-0000-0000-0000B4070000}"/>
    <cellStyle name="Total 4 2 5" xfId="1125" xr:uid="{00000000-0005-0000-0000-0000B5070000}"/>
    <cellStyle name="Total 4 2 5 2" xfId="2425" xr:uid="{00000000-0005-0000-0000-0000B6070000}"/>
    <cellStyle name="Total 4 2 5 2 2" xfId="4015" xr:uid="{00000000-0005-0000-0000-0000B7070000}"/>
    <cellStyle name="Total 4 2 5 3" xfId="3271" xr:uid="{00000000-0005-0000-0000-0000B8070000}"/>
    <cellStyle name="Total 4 2 6" xfId="1126" xr:uid="{00000000-0005-0000-0000-0000B9070000}"/>
    <cellStyle name="Total 4 2 6 2" xfId="2426" xr:uid="{00000000-0005-0000-0000-0000BA070000}"/>
    <cellStyle name="Total 4 2 6 2 2" xfId="4016" xr:uid="{00000000-0005-0000-0000-0000BB070000}"/>
    <cellStyle name="Total 4 2 6 3" xfId="3272" xr:uid="{00000000-0005-0000-0000-0000BC070000}"/>
    <cellStyle name="Total 4 2 7" xfId="1127" xr:uid="{00000000-0005-0000-0000-0000BD070000}"/>
    <cellStyle name="Total 4 2 7 2" xfId="2427" xr:uid="{00000000-0005-0000-0000-0000BE070000}"/>
    <cellStyle name="Total 4 2 7 2 2" xfId="4017" xr:uid="{00000000-0005-0000-0000-0000BF070000}"/>
    <cellStyle name="Total 4 2 7 3" xfId="3273" xr:uid="{00000000-0005-0000-0000-0000C0070000}"/>
    <cellStyle name="Total 4 2 8" xfId="1128" xr:uid="{00000000-0005-0000-0000-0000C1070000}"/>
    <cellStyle name="Total 4 2 8 2" xfId="2428" xr:uid="{00000000-0005-0000-0000-0000C2070000}"/>
    <cellStyle name="Total 4 2 8 2 2" xfId="4018" xr:uid="{00000000-0005-0000-0000-0000C3070000}"/>
    <cellStyle name="Total 4 2 8 3" xfId="3274" xr:uid="{00000000-0005-0000-0000-0000C4070000}"/>
    <cellStyle name="Total 4 2 9" xfId="1129" xr:uid="{00000000-0005-0000-0000-0000C5070000}"/>
    <cellStyle name="Total 4 2 9 2" xfId="2429" xr:uid="{00000000-0005-0000-0000-0000C6070000}"/>
    <cellStyle name="Total 4 2 9 2 2" xfId="4019" xr:uid="{00000000-0005-0000-0000-0000C7070000}"/>
    <cellStyle name="Total 4 2 9 3" xfId="3275" xr:uid="{00000000-0005-0000-0000-0000C8070000}"/>
    <cellStyle name="Total 4 3" xfId="1130" xr:uid="{00000000-0005-0000-0000-0000C9070000}"/>
    <cellStyle name="Total 4 3 2" xfId="2430" xr:uid="{00000000-0005-0000-0000-0000CA070000}"/>
    <cellStyle name="Total 4 3 2 2" xfId="4020" xr:uid="{00000000-0005-0000-0000-0000CB070000}"/>
    <cellStyle name="Total 4 3 3" xfId="3276" xr:uid="{00000000-0005-0000-0000-0000CC070000}"/>
    <cellStyle name="Total 4 4" xfId="1131" xr:uid="{00000000-0005-0000-0000-0000CD070000}"/>
    <cellStyle name="Total 4 4 2" xfId="2431" xr:uid="{00000000-0005-0000-0000-0000CE070000}"/>
    <cellStyle name="Total 4 4 2 2" xfId="4021" xr:uid="{00000000-0005-0000-0000-0000CF070000}"/>
    <cellStyle name="Total 4 4 3" xfId="3277" xr:uid="{00000000-0005-0000-0000-0000D0070000}"/>
    <cellStyle name="Total 4 5" xfId="2416" xr:uid="{00000000-0005-0000-0000-0000D1070000}"/>
    <cellStyle name="Total 4 5 2" xfId="4006" xr:uid="{00000000-0005-0000-0000-0000D2070000}"/>
    <cellStyle name="Total 4 6" xfId="3262" xr:uid="{00000000-0005-0000-0000-0000D3070000}"/>
    <cellStyle name="Total 5" xfId="1132" xr:uid="{00000000-0005-0000-0000-0000D4070000}"/>
    <cellStyle name="Total 5 10" xfId="1133" xr:uid="{00000000-0005-0000-0000-0000D5070000}"/>
    <cellStyle name="Total 5 10 2" xfId="2433" xr:uid="{00000000-0005-0000-0000-0000D6070000}"/>
    <cellStyle name="Total 5 10 2 2" xfId="4023" xr:uid="{00000000-0005-0000-0000-0000D7070000}"/>
    <cellStyle name="Total 5 10 3" xfId="3279" xr:uid="{00000000-0005-0000-0000-0000D8070000}"/>
    <cellStyle name="Total 5 11" xfId="1134" xr:uid="{00000000-0005-0000-0000-0000D9070000}"/>
    <cellStyle name="Total 5 11 2" xfId="2434" xr:uid="{00000000-0005-0000-0000-0000DA070000}"/>
    <cellStyle name="Total 5 11 2 2" xfId="4024" xr:uid="{00000000-0005-0000-0000-0000DB070000}"/>
    <cellStyle name="Total 5 11 3" xfId="3280" xr:uid="{00000000-0005-0000-0000-0000DC070000}"/>
    <cellStyle name="Total 5 12" xfId="1135" xr:uid="{00000000-0005-0000-0000-0000DD070000}"/>
    <cellStyle name="Total 5 12 2" xfId="2435" xr:uid="{00000000-0005-0000-0000-0000DE070000}"/>
    <cellStyle name="Total 5 12 2 2" xfId="4025" xr:uid="{00000000-0005-0000-0000-0000DF070000}"/>
    <cellStyle name="Total 5 12 3" xfId="3281" xr:uid="{00000000-0005-0000-0000-0000E0070000}"/>
    <cellStyle name="Total 5 13" xfId="1136" xr:uid="{00000000-0005-0000-0000-0000E1070000}"/>
    <cellStyle name="Total 5 13 2" xfId="2436" xr:uid="{00000000-0005-0000-0000-0000E2070000}"/>
    <cellStyle name="Total 5 13 2 2" xfId="4026" xr:uid="{00000000-0005-0000-0000-0000E3070000}"/>
    <cellStyle name="Total 5 13 3" xfId="3282" xr:uid="{00000000-0005-0000-0000-0000E4070000}"/>
    <cellStyle name="Total 5 14" xfId="2432" xr:uid="{00000000-0005-0000-0000-0000E5070000}"/>
    <cellStyle name="Total 5 14 2" xfId="4022" xr:uid="{00000000-0005-0000-0000-0000E6070000}"/>
    <cellStyle name="Total 5 15" xfId="3278" xr:uid="{00000000-0005-0000-0000-0000E7070000}"/>
    <cellStyle name="Total 5 2" xfId="1137" xr:uid="{00000000-0005-0000-0000-0000E8070000}"/>
    <cellStyle name="Total 5 2 2" xfId="2437" xr:uid="{00000000-0005-0000-0000-0000E9070000}"/>
    <cellStyle name="Total 5 2 2 2" xfId="4027" xr:uid="{00000000-0005-0000-0000-0000EA070000}"/>
    <cellStyle name="Total 5 2 3" xfId="3283" xr:uid="{00000000-0005-0000-0000-0000EB070000}"/>
    <cellStyle name="Total 5 3" xfId="1138" xr:uid="{00000000-0005-0000-0000-0000EC070000}"/>
    <cellStyle name="Total 5 3 2" xfId="2438" xr:uid="{00000000-0005-0000-0000-0000ED070000}"/>
    <cellStyle name="Total 5 3 2 2" xfId="4028" xr:uid="{00000000-0005-0000-0000-0000EE070000}"/>
    <cellStyle name="Total 5 3 3" xfId="3284" xr:uid="{00000000-0005-0000-0000-0000EF070000}"/>
    <cellStyle name="Total 5 4" xfId="1139" xr:uid="{00000000-0005-0000-0000-0000F0070000}"/>
    <cellStyle name="Total 5 4 2" xfId="2439" xr:uid="{00000000-0005-0000-0000-0000F1070000}"/>
    <cellStyle name="Total 5 4 2 2" xfId="4029" xr:uid="{00000000-0005-0000-0000-0000F2070000}"/>
    <cellStyle name="Total 5 4 3" xfId="3285" xr:uid="{00000000-0005-0000-0000-0000F3070000}"/>
    <cellStyle name="Total 5 5" xfId="1140" xr:uid="{00000000-0005-0000-0000-0000F4070000}"/>
    <cellStyle name="Total 5 5 2" xfId="2440" xr:uid="{00000000-0005-0000-0000-0000F5070000}"/>
    <cellStyle name="Total 5 5 2 2" xfId="4030" xr:uid="{00000000-0005-0000-0000-0000F6070000}"/>
    <cellStyle name="Total 5 5 3" xfId="3286" xr:uid="{00000000-0005-0000-0000-0000F7070000}"/>
    <cellStyle name="Total 5 6" xfId="1141" xr:uid="{00000000-0005-0000-0000-0000F8070000}"/>
    <cellStyle name="Total 5 6 2" xfId="2441" xr:uid="{00000000-0005-0000-0000-0000F9070000}"/>
    <cellStyle name="Total 5 6 2 2" xfId="4031" xr:uid="{00000000-0005-0000-0000-0000FA070000}"/>
    <cellStyle name="Total 5 6 3" xfId="3287" xr:uid="{00000000-0005-0000-0000-0000FB070000}"/>
    <cellStyle name="Total 5 7" xfId="1142" xr:uid="{00000000-0005-0000-0000-0000FC070000}"/>
    <cellStyle name="Total 5 7 2" xfId="2442" xr:uid="{00000000-0005-0000-0000-0000FD070000}"/>
    <cellStyle name="Total 5 7 2 2" xfId="4032" xr:uid="{00000000-0005-0000-0000-0000FE070000}"/>
    <cellStyle name="Total 5 7 3" xfId="3288" xr:uid="{00000000-0005-0000-0000-0000FF070000}"/>
    <cellStyle name="Total 5 8" xfId="1143" xr:uid="{00000000-0005-0000-0000-000000080000}"/>
    <cellStyle name="Total 5 8 2" xfId="2443" xr:uid="{00000000-0005-0000-0000-000001080000}"/>
    <cellStyle name="Total 5 8 2 2" xfId="4033" xr:uid="{00000000-0005-0000-0000-000002080000}"/>
    <cellStyle name="Total 5 8 3" xfId="3289" xr:uid="{00000000-0005-0000-0000-000003080000}"/>
    <cellStyle name="Total 5 9" xfId="1144" xr:uid="{00000000-0005-0000-0000-000004080000}"/>
    <cellStyle name="Total 5 9 2" xfId="2444" xr:uid="{00000000-0005-0000-0000-000005080000}"/>
    <cellStyle name="Total 5 9 2 2" xfId="4034" xr:uid="{00000000-0005-0000-0000-000006080000}"/>
    <cellStyle name="Total 5 9 3" xfId="3290" xr:uid="{00000000-0005-0000-0000-000007080000}"/>
    <cellStyle name="Total 6" xfId="1145" xr:uid="{00000000-0005-0000-0000-000008080000}"/>
    <cellStyle name="Total 6 2" xfId="2445" xr:uid="{00000000-0005-0000-0000-000009080000}"/>
    <cellStyle name="Total 6 2 2" xfId="4035" xr:uid="{00000000-0005-0000-0000-00000A080000}"/>
    <cellStyle name="Total 6 3" xfId="3291" xr:uid="{00000000-0005-0000-0000-00000B080000}"/>
    <cellStyle name="Total 7" xfId="2385" xr:uid="{00000000-0005-0000-0000-00000C080000}"/>
    <cellStyle name="Total 7 2" xfId="3975" xr:uid="{00000000-0005-0000-0000-00000D080000}"/>
    <cellStyle name="Total 8" xfId="3231" xr:uid="{00000000-0005-0000-0000-00000E080000}"/>
    <cellStyle name="TotCol - Style5" xfId="1146" xr:uid="{00000000-0005-0000-0000-00000F080000}"/>
    <cellStyle name="TotCol - Style5 2" xfId="1147" xr:uid="{00000000-0005-0000-0000-000010080000}"/>
    <cellStyle name="TotCol - Style5 2 2" xfId="1148" xr:uid="{00000000-0005-0000-0000-000011080000}"/>
    <cellStyle name="TotCol - Style5 2 3" xfId="1149" xr:uid="{00000000-0005-0000-0000-000012080000}"/>
    <cellStyle name="TotRow - Style4" xfId="1150" xr:uid="{00000000-0005-0000-0000-000013080000}"/>
    <cellStyle name="TotRow - Style4 2" xfId="1151" xr:uid="{00000000-0005-0000-0000-000014080000}"/>
    <cellStyle name="TotRow - Style4 2 10" xfId="1152" xr:uid="{00000000-0005-0000-0000-000015080000}"/>
    <cellStyle name="TotRow - Style4 2 10 2" xfId="3294" xr:uid="{00000000-0005-0000-0000-000016080000}"/>
    <cellStyle name="TotRow - Style4 2 11" xfId="1153" xr:uid="{00000000-0005-0000-0000-000017080000}"/>
    <cellStyle name="TotRow - Style4 2 11 2" xfId="3295" xr:uid="{00000000-0005-0000-0000-000018080000}"/>
    <cellStyle name="TotRow - Style4 2 12" xfId="1154" xr:uid="{00000000-0005-0000-0000-000019080000}"/>
    <cellStyle name="TotRow - Style4 2 12 2" xfId="3296" xr:uid="{00000000-0005-0000-0000-00001A080000}"/>
    <cellStyle name="TotRow - Style4 2 13" xfId="1155" xr:uid="{00000000-0005-0000-0000-00001B080000}"/>
    <cellStyle name="TotRow - Style4 2 13 2" xfId="3297" xr:uid="{00000000-0005-0000-0000-00001C080000}"/>
    <cellStyle name="TotRow - Style4 2 14" xfId="1156" xr:uid="{00000000-0005-0000-0000-00001D080000}"/>
    <cellStyle name="TotRow - Style4 2 14 2" xfId="3298" xr:uid="{00000000-0005-0000-0000-00001E080000}"/>
    <cellStyle name="TotRow - Style4 2 15" xfId="1157" xr:uid="{00000000-0005-0000-0000-00001F080000}"/>
    <cellStyle name="TotRow - Style4 2 15 2" xfId="3299" xr:uid="{00000000-0005-0000-0000-000020080000}"/>
    <cellStyle name="TotRow - Style4 2 16" xfId="1158" xr:uid="{00000000-0005-0000-0000-000021080000}"/>
    <cellStyle name="TotRow - Style4 2 16 2" xfId="3300" xr:uid="{00000000-0005-0000-0000-000022080000}"/>
    <cellStyle name="TotRow - Style4 2 17" xfId="1159" xr:uid="{00000000-0005-0000-0000-000023080000}"/>
    <cellStyle name="TotRow - Style4 2 17 2" xfId="3301" xr:uid="{00000000-0005-0000-0000-000024080000}"/>
    <cellStyle name="TotRow - Style4 2 18" xfId="3293" xr:uid="{00000000-0005-0000-0000-000025080000}"/>
    <cellStyle name="TotRow - Style4 2 2" xfId="1160" xr:uid="{00000000-0005-0000-0000-000026080000}"/>
    <cellStyle name="TotRow - Style4 2 2 10" xfId="1161" xr:uid="{00000000-0005-0000-0000-000027080000}"/>
    <cellStyle name="TotRow - Style4 2 2 10 2" xfId="3303" xr:uid="{00000000-0005-0000-0000-000028080000}"/>
    <cellStyle name="TotRow - Style4 2 2 11" xfId="1162" xr:uid="{00000000-0005-0000-0000-000029080000}"/>
    <cellStyle name="TotRow - Style4 2 2 11 2" xfId="3304" xr:uid="{00000000-0005-0000-0000-00002A080000}"/>
    <cellStyle name="TotRow - Style4 2 2 12" xfId="1163" xr:uid="{00000000-0005-0000-0000-00002B080000}"/>
    <cellStyle name="TotRow - Style4 2 2 12 2" xfId="3305" xr:uid="{00000000-0005-0000-0000-00002C080000}"/>
    <cellStyle name="TotRow - Style4 2 2 13" xfId="1164" xr:uid="{00000000-0005-0000-0000-00002D080000}"/>
    <cellStyle name="TotRow - Style4 2 2 13 2" xfId="3306" xr:uid="{00000000-0005-0000-0000-00002E080000}"/>
    <cellStyle name="TotRow - Style4 2 2 14" xfId="3302" xr:uid="{00000000-0005-0000-0000-00002F080000}"/>
    <cellStyle name="TotRow - Style4 2 2 2" xfId="1165" xr:uid="{00000000-0005-0000-0000-000030080000}"/>
    <cellStyle name="TotRow - Style4 2 2 2 2" xfId="3307" xr:uid="{00000000-0005-0000-0000-000031080000}"/>
    <cellStyle name="TotRow - Style4 2 2 3" xfId="1166" xr:uid="{00000000-0005-0000-0000-000032080000}"/>
    <cellStyle name="TotRow - Style4 2 2 3 2" xfId="3308" xr:uid="{00000000-0005-0000-0000-000033080000}"/>
    <cellStyle name="TotRow - Style4 2 2 4" xfId="1167" xr:uid="{00000000-0005-0000-0000-000034080000}"/>
    <cellStyle name="TotRow - Style4 2 2 4 2" xfId="3309" xr:uid="{00000000-0005-0000-0000-000035080000}"/>
    <cellStyle name="TotRow - Style4 2 2 5" xfId="1168" xr:uid="{00000000-0005-0000-0000-000036080000}"/>
    <cellStyle name="TotRow - Style4 2 2 5 2" xfId="3310" xr:uid="{00000000-0005-0000-0000-000037080000}"/>
    <cellStyle name="TotRow - Style4 2 2 6" xfId="1169" xr:uid="{00000000-0005-0000-0000-000038080000}"/>
    <cellStyle name="TotRow - Style4 2 2 6 2" xfId="3311" xr:uid="{00000000-0005-0000-0000-000039080000}"/>
    <cellStyle name="TotRow - Style4 2 2 7" xfId="1170" xr:uid="{00000000-0005-0000-0000-00003A080000}"/>
    <cellStyle name="TotRow - Style4 2 2 7 2" xfId="3312" xr:uid="{00000000-0005-0000-0000-00003B080000}"/>
    <cellStyle name="TotRow - Style4 2 2 8" xfId="1171" xr:uid="{00000000-0005-0000-0000-00003C080000}"/>
    <cellStyle name="TotRow - Style4 2 2 8 2" xfId="3313" xr:uid="{00000000-0005-0000-0000-00003D080000}"/>
    <cellStyle name="TotRow - Style4 2 2 9" xfId="1172" xr:uid="{00000000-0005-0000-0000-00003E080000}"/>
    <cellStyle name="TotRow - Style4 2 2 9 2" xfId="3314" xr:uid="{00000000-0005-0000-0000-00003F080000}"/>
    <cellStyle name="TotRow - Style4 2 3" xfId="1173" xr:uid="{00000000-0005-0000-0000-000040080000}"/>
    <cellStyle name="TotRow - Style4 2 3 10" xfId="1174" xr:uid="{00000000-0005-0000-0000-000041080000}"/>
    <cellStyle name="TotRow - Style4 2 3 10 2" xfId="3316" xr:uid="{00000000-0005-0000-0000-000042080000}"/>
    <cellStyle name="TotRow - Style4 2 3 11" xfId="1175" xr:uid="{00000000-0005-0000-0000-000043080000}"/>
    <cellStyle name="TotRow - Style4 2 3 11 2" xfId="3317" xr:uid="{00000000-0005-0000-0000-000044080000}"/>
    <cellStyle name="TotRow - Style4 2 3 12" xfId="1176" xr:uid="{00000000-0005-0000-0000-000045080000}"/>
    <cellStyle name="TotRow - Style4 2 3 12 2" xfId="3318" xr:uid="{00000000-0005-0000-0000-000046080000}"/>
    <cellStyle name="TotRow - Style4 2 3 13" xfId="1177" xr:uid="{00000000-0005-0000-0000-000047080000}"/>
    <cellStyle name="TotRow - Style4 2 3 13 2" xfId="3319" xr:uid="{00000000-0005-0000-0000-000048080000}"/>
    <cellStyle name="TotRow - Style4 2 3 14" xfId="3315" xr:uid="{00000000-0005-0000-0000-000049080000}"/>
    <cellStyle name="TotRow - Style4 2 3 2" xfId="1178" xr:uid="{00000000-0005-0000-0000-00004A080000}"/>
    <cellStyle name="TotRow - Style4 2 3 2 2" xfId="3320" xr:uid="{00000000-0005-0000-0000-00004B080000}"/>
    <cellStyle name="TotRow - Style4 2 3 3" xfId="1179" xr:uid="{00000000-0005-0000-0000-00004C080000}"/>
    <cellStyle name="TotRow - Style4 2 3 3 2" xfId="3321" xr:uid="{00000000-0005-0000-0000-00004D080000}"/>
    <cellStyle name="TotRow - Style4 2 3 4" xfId="1180" xr:uid="{00000000-0005-0000-0000-00004E080000}"/>
    <cellStyle name="TotRow - Style4 2 3 4 2" xfId="3322" xr:uid="{00000000-0005-0000-0000-00004F080000}"/>
    <cellStyle name="TotRow - Style4 2 3 5" xfId="1181" xr:uid="{00000000-0005-0000-0000-000050080000}"/>
    <cellStyle name="TotRow - Style4 2 3 5 2" xfId="3323" xr:uid="{00000000-0005-0000-0000-000051080000}"/>
    <cellStyle name="TotRow - Style4 2 3 6" xfId="1182" xr:uid="{00000000-0005-0000-0000-000052080000}"/>
    <cellStyle name="TotRow - Style4 2 3 6 2" xfId="3324" xr:uid="{00000000-0005-0000-0000-000053080000}"/>
    <cellStyle name="TotRow - Style4 2 3 7" xfId="1183" xr:uid="{00000000-0005-0000-0000-000054080000}"/>
    <cellStyle name="TotRow - Style4 2 3 7 2" xfId="3325" xr:uid="{00000000-0005-0000-0000-000055080000}"/>
    <cellStyle name="TotRow - Style4 2 3 8" xfId="1184" xr:uid="{00000000-0005-0000-0000-000056080000}"/>
    <cellStyle name="TotRow - Style4 2 3 8 2" xfId="3326" xr:uid="{00000000-0005-0000-0000-000057080000}"/>
    <cellStyle name="TotRow - Style4 2 3 9" xfId="1185" xr:uid="{00000000-0005-0000-0000-000058080000}"/>
    <cellStyle name="TotRow - Style4 2 3 9 2" xfId="3327" xr:uid="{00000000-0005-0000-0000-000059080000}"/>
    <cellStyle name="TotRow - Style4 2 4" xfId="1186" xr:uid="{00000000-0005-0000-0000-00005A080000}"/>
    <cellStyle name="TotRow - Style4 2 4 10" xfId="1187" xr:uid="{00000000-0005-0000-0000-00005B080000}"/>
    <cellStyle name="TotRow - Style4 2 4 10 2" xfId="3329" xr:uid="{00000000-0005-0000-0000-00005C080000}"/>
    <cellStyle name="TotRow - Style4 2 4 11" xfId="1188" xr:uid="{00000000-0005-0000-0000-00005D080000}"/>
    <cellStyle name="TotRow - Style4 2 4 11 2" xfId="3330" xr:uid="{00000000-0005-0000-0000-00005E080000}"/>
    <cellStyle name="TotRow - Style4 2 4 12" xfId="1189" xr:uid="{00000000-0005-0000-0000-00005F080000}"/>
    <cellStyle name="TotRow - Style4 2 4 12 2" xfId="3331" xr:uid="{00000000-0005-0000-0000-000060080000}"/>
    <cellStyle name="TotRow - Style4 2 4 13" xfId="1190" xr:uid="{00000000-0005-0000-0000-000061080000}"/>
    <cellStyle name="TotRow - Style4 2 4 13 2" xfId="3332" xr:uid="{00000000-0005-0000-0000-000062080000}"/>
    <cellStyle name="TotRow - Style4 2 4 14" xfId="3328" xr:uid="{00000000-0005-0000-0000-000063080000}"/>
    <cellStyle name="TotRow - Style4 2 4 2" xfId="1191" xr:uid="{00000000-0005-0000-0000-000064080000}"/>
    <cellStyle name="TotRow - Style4 2 4 2 2" xfId="3333" xr:uid="{00000000-0005-0000-0000-000065080000}"/>
    <cellStyle name="TotRow - Style4 2 4 3" xfId="1192" xr:uid="{00000000-0005-0000-0000-000066080000}"/>
    <cellStyle name="TotRow - Style4 2 4 3 2" xfId="3334" xr:uid="{00000000-0005-0000-0000-000067080000}"/>
    <cellStyle name="TotRow - Style4 2 4 4" xfId="1193" xr:uid="{00000000-0005-0000-0000-000068080000}"/>
    <cellStyle name="TotRow - Style4 2 4 4 2" xfId="3335" xr:uid="{00000000-0005-0000-0000-000069080000}"/>
    <cellStyle name="TotRow - Style4 2 4 5" xfId="1194" xr:uid="{00000000-0005-0000-0000-00006A080000}"/>
    <cellStyle name="TotRow - Style4 2 4 5 2" xfId="3336" xr:uid="{00000000-0005-0000-0000-00006B080000}"/>
    <cellStyle name="TotRow - Style4 2 4 6" xfId="1195" xr:uid="{00000000-0005-0000-0000-00006C080000}"/>
    <cellStyle name="TotRow - Style4 2 4 6 2" xfId="3337" xr:uid="{00000000-0005-0000-0000-00006D080000}"/>
    <cellStyle name="TotRow - Style4 2 4 7" xfId="1196" xr:uid="{00000000-0005-0000-0000-00006E080000}"/>
    <cellStyle name="TotRow - Style4 2 4 7 2" xfId="3338" xr:uid="{00000000-0005-0000-0000-00006F080000}"/>
    <cellStyle name="TotRow - Style4 2 4 8" xfId="1197" xr:uid="{00000000-0005-0000-0000-000070080000}"/>
    <cellStyle name="TotRow - Style4 2 4 8 2" xfId="3339" xr:uid="{00000000-0005-0000-0000-000071080000}"/>
    <cellStyle name="TotRow - Style4 2 4 9" xfId="1198" xr:uid="{00000000-0005-0000-0000-000072080000}"/>
    <cellStyle name="TotRow - Style4 2 4 9 2" xfId="3340" xr:uid="{00000000-0005-0000-0000-000073080000}"/>
    <cellStyle name="TotRow - Style4 2 5" xfId="1199" xr:uid="{00000000-0005-0000-0000-000074080000}"/>
    <cellStyle name="TotRow - Style4 2 5 2" xfId="3341" xr:uid="{00000000-0005-0000-0000-000075080000}"/>
    <cellStyle name="TotRow - Style4 2 6" xfId="1200" xr:uid="{00000000-0005-0000-0000-000076080000}"/>
    <cellStyle name="TotRow - Style4 2 6 2" xfId="3342" xr:uid="{00000000-0005-0000-0000-000077080000}"/>
    <cellStyle name="TotRow - Style4 2 7" xfId="1201" xr:uid="{00000000-0005-0000-0000-000078080000}"/>
    <cellStyle name="TotRow - Style4 2 7 2" xfId="3343" xr:uid="{00000000-0005-0000-0000-000079080000}"/>
    <cellStyle name="TotRow - Style4 2 8" xfId="1202" xr:uid="{00000000-0005-0000-0000-00007A080000}"/>
    <cellStyle name="TotRow - Style4 2 8 2" xfId="3344" xr:uid="{00000000-0005-0000-0000-00007B080000}"/>
    <cellStyle name="TotRow - Style4 2 9" xfId="1203" xr:uid="{00000000-0005-0000-0000-00007C080000}"/>
    <cellStyle name="TotRow - Style4 2 9 2" xfId="3345" xr:uid="{00000000-0005-0000-0000-00007D080000}"/>
    <cellStyle name="TotRow - Style4 3" xfId="1204" xr:uid="{00000000-0005-0000-0000-00007E080000}"/>
    <cellStyle name="TotRow - Style4 3 10" xfId="1205" xr:uid="{00000000-0005-0000-0000-00007F080000}"/>
    <cellStyle name="TotRow - Style4 3 10 2" xfId="3347" xr:uid="{00000000-0005-0000-0000-000080080000}"/>
    <cellStyle name="TotRow - Style4 3 11" xfId="1206" xr:uid="{00000000-0005-0000-0000-000081080000}"/>
    <cellStyle name="TotRow - Style4 3 11 2" xfId="3348" xr:uid="{00000000-0005-0000-0000-000082080000}"/>
    <cellStyle name="TotRow - Style4 3 12" xfId="1207" xr:uid="{00000000-0005-0000-0000-000083080000}"/>
    <cellStyle name="TotRow - Style4 3 12 2" xfId="3349" xr:uid="{00000000-0005-0000-0000-000084080000}"/>
    <cellStyle name="TotRow - Style4 3 13" xfId="1208" xr:uid="{00000000-0005-0000-0000-000085080000}"/>
    <cellStyle name="TotRow - Style4 3 13 2" xfId="3350" xr:uid="{00000000-0005-0000-0000-000086080000}"/>
    <cellStyle name="TotRow - Style4 3 14" xfId="3346" xr:uid="{00000000-0005-0000-0000-000087080000}"/>
    <cellStyle name="TotRow - Style4 3 2" xfId="1209" xr:uid="{00000000-0005-0000-0000-000088080000}"/>
    <cellStyle name="TotRow - Style4 3 2 2" xfId="3351" xr:uid="{00000000-0005-0000-0000-000089080000}"/>
    <cellStyle name="TotRow - Style4 3 3" xfId="1210" xr:uid="{00000000-0005-0000-0000-00008A080000}"/>
    <cellStyle name="TotRow - Style4 3 3 2" xfId="3352" xr:uid="{00000000-0005-0000-0000-00008B080000}"/>
    <cellStyle name="TotRow - Style4 3 4" xfId="1211" xr:uid="{00000000-0005-0000-0000-00008C080000}"/>
    <cellStyle name="TotRow - Style4 3 4 2" xfId="3353" xr:uid="{00000000-0005-0000-0000-00008D080000}"/>
    <cellStyle name="TotRow - Style4 3 5" xfId="1212" xr:uid="{00000000-0005-0000-0000-00008E080000}"/>
    <cellStyle name="TotRow - Style4 3 5 2" xfId="3354" xr:uid="{00000000-0005-0000-0000-00008F080000}"/>
    <cellStyle name="TotRow - Style4 3 6" xfId="1213" xr:uid="{00000000-0005-0000-0000-000090080000}"/>
    <cellStyle name="TotRow - Style4 3 6 2" xfId="3355" xr:uid="{00000000-0005-0000-0000-000091080000}"/>
    <cellStyle name="TotRow - Style4 3 7" xfId="1214" xr:uid="{00000000-0005-0000-0000-000092080000}"/>
    <cellStyle name="TotRow - Style4 3 7 2" xfId="3356" xr:uid="{00000000-0005-0000-0000-000093080000}"/>
    <cellStyle name="TotRow - Style4 3 8" xfId="1215" xr:uid="{00000000-0005-0000-0000-000094080000}"/>
    <cellStyle name="TotRow - Style4 3 8 2" xfId="3357" xr:uid="{00000000-0005-0000-0000-000095080000}"/>
    <cellStyle name="TotRow - Style4 3 9" xfId="1216" xr:uid="{00000000-0005-0000-0000-000096080000}"/>
    <cellStyle name="TotRow - Style4 3 9 2" xfId="3358" xr:uid="{00000000-0005-0000-0000-000097080000}"/>
    <cellStyle name="TotRow - Style4 4" xfId="1217" xr:uid="{00000000-0005-0000-0000-000098080000}"/>
    <cellStyle name="TotRow - Style4 4 10" xfId="1218" xr:uid="{00000000-0005-0000-0000-000099080000}"/>
    <cellStyle name="TotRow - Style4 4 10 2" xfId="3360" xr:uid="{00000000-0005-0000-0000-00009A080000}"/>
    <cellStyle name="TotRow - Style4 4 11" xfId="1219" xr:uid="{00000000-0005-0000-0000-00009B080000}"/>
    <cellStyle name="TotRow - Style4 4 11 2" xfId="3361" xr:uid="{00000000-0005-0000-0000-00009C080000}"/>
    <cellStyle name="TotRow - Style4 4 12" xfId="1220" xr:uid="{00000000-0005-0000-0000-00009D080000}"/>
    <cellStyle name="TotRow - Style4 4 12 2" xfId="3362" xr:uid="{00000000-0005-0000-0000-00009E080000}"/>
    <cellStyle name="TotRow - Style4 4 13" xfId="1221" xr:uid="{00000000-0005-0000-0000-00009F080000}"/>
    <cellStyle name="TotRow - Style4 4 13 2" xfId="3363" xr:uid="{00000000-0005-0000-0000-0000A0080000}"/>
    <cellStyle name="TotRow - Style4 4 14" xfId="3359" xr:uid="{00000000-0005-0000-0000-0000A1080000}"/>
    <cellStyle name="TotRow - Style4 4 2" xfId="1222" xr:uid="{00000000-0005-0000-0000-0000A2080000}"/>
    <cellStyle name="TotRow - Style4 4 2 2" xfId="3364" xr:uid="{00000000-0005-0000-0000-0000A3080000}"/>
    <cellStyle name="TotRow - Style4 4 3" xfId="1223" xr:uid="{00000000-0005-0000-0000-0000A4080000}"/>
    <cellStyle name="TotRow - Style4 4 3 2" xfId="3365" xr:uid="{00000000-0005-0000-0000-0000A5080000}"/>
    <cellStyle name="TotRow - Style4 4 4" xfId="1224" xr:uid="{00000000-0005-0000-0000-0000A6080000}"/>
    <cellStyle name="TotRow - Style4 4 4 2" xfId="3366" xr:uid="{00000000-0005-0000-0000-0000A7080000}"/>
    <cellStyle name="TotRow - Style4 4 5" xfId="1225" xr:uid="{00000000-0005-0000-0000-0000A8080000}"/>
    <cellStyle name="TotRow - Style4 4 5 2" xfId="3367" xr:uid="{00000000-0005-0000-0000-0000A9080000}"/>
    <cellStyle name="TotRow - Style4 4 6" xfId="1226" xr:uid="{00000000-0005-0000-0000-0000AA080000}"/>
    <cellStyle name="TotRow - Style4 4 6 2" xfId="3368" xr:uid="{00000000-0005-0000-0000-0000AB080000}"/>
    <cellStyle name="TotRow - Style4 4 7" xfId="1227" xr:uid="{00000000-0005-0000-0000-0000AC080000}"/>
    <cellStyle name="TotRow - Style4 4 7 2" xfId="3369" xr:uid="{00000000-0005-0000-0000-0000AD080000}"/>
    <cellStyle name="TotRow - Style4 4 8" xfId="1228" xr:uid="{00000000-0005-0000-0000-0000AE080000}"/>
    <cellStyle name="TotRow - Style4 4 8 2" xfId="3370" xr:uid="{00000000-0005-0000-0000-0000AF080000}"/>
    <cellStyle name="TotRow - Style4 4 9" xfId="1229" xr:uid="{00000000-0005-0000-0000-0000B0080000}"/>
    <cellStyle name="TotRow - Style4 4 9 2" xfId="3371" xr:uid="{00000000-0005-0000-0000-0000B1080000}"/>
    <cellStyle name="TotRow - Style4 5" xfId="1230" xr:uid="{00000000-0005-0000-0000-0000B2080000}"/>
    <cellStyle name="TotRow - Style4 5 2" xfId="3372" xr:uid="{00000000-0005-0000-0000-0000B3080000}"/>
    <cellStyle name="TotRow - Style4 6" xfId="3292" xr:uid="{00000000-0005-0000-0000-0000B4080000}"/>
    <cellStyle name="Warning Text" xfId="1231" xr:uid="{00000000-0005-0000-0000-0000B5080000}"/>
    <cellStyle name="Warning Text 2" xfId="1232" xr:uid="{00000000-0005-0000-0000-0000B6080000}"/>
    <cellStyle name="Warning Text 3" xfId="1233" xr:uid="{00000000-0005-0000-0000-0000B7080000}"/>
    <cellStyle name="Warning Text 4" xfId="1234" xr:uid="{00000000-0005-0000-0000-0000B8080000}"/>
    <cellStyle name="Yellow" xfId="1235" xr:uid="{00000000-0005-0000-0000-0000B9080000}"/>
    <cellStyle name="Yellow 2" xfId="1236" xr:uid="{00000000-0005-0000-0000-0000BA080000}"/>
    <cellStyle name="เครื่องหมายสกุลเงิน [0]_PERSONAL" xfId="1237" xr:uid="{00000000-0005-0000-0000-0000BB080000}"/>
    <cellStyle name="เครื่องหมายสกุลเงิน_PERSONAL" xfId="1238" xr:uid="{00000000-0005-0000-0000-0000BC080000}"/>
    <cellStyle name="ปกติ_PERSONAL" xfId="1239" xr:uid="{00000000-0005-0000-0000-0000BD080000}"/>
    <cellStyle name="一般" xfId="0" builtinId="0"/>
    <cellStyle name="一般 10" xfId="10" xr:uid="{00000000-0005-0000-0000-0000BF080000}"/>
    <cellStyle name="一般 10 2" xfId="1240" xr:uid="{00000000-0005-0000-0000-0000C0080000}"/>
    <cellStyle name="一般 11" xfId="1241" xr:uid="{00000000-0005-0000-0000-0000C1080000}"/>
    <cellStyle name="一般 11 2" xfId="1242" xr:uid="{00000000-0005-0000-0000-0000C2080000}"/>
    <cellStyle name="一般 11 3" xfId="1243" xr:uid="{00000000-0005-0000-0000-0000C3080000}"/>
    <cellStyle name="一般 11 4" xfId="1244" xr:uid="{00000000-0005-0000-0000-0000C4080000}"/>
    <cellStyle name="一般 11 5" xfId="27" xr:uid="{00000000-0005-0000-0000-0000C5080000}"/>
    <cellStyle name="一般 12" xfId="1245" xr:uid="{00000000-0005-0000-0000-0000C6080000}"/>
    <cellStyle name="一般 13" xfId="1246" xr:uid="{00000000-0005-0000-0000-0000C7080000}"/>
    <cellStyle name="一般 14" xfId="1247" xr:uid="{00000000-0005-0000-0000-0000C8080000}"/>
    <cellStyle name="一般 15" xfId="1248" xr:uid="{00000000-0005-0000-0000-0000C9080000}"/>
    <cellStyle name="一般 16" xfId="1249" xr:uid="{00000000-0005-0000-0000-0000CA080000}"/>
    <cellStyle name="一般 2" xfId="3" xr:uid="{00000000-0005-0000-0000-0000CB080000}"/>
    <cellStyle name="一般 2 2" xfId="16" xr:uid="{00000000-0005-0000-0000-0000CC080000}"/>
    <cellStyle name="一般 2 2 2" xfId="24" xr:uid="{00000000-0005-0000-0000-0000CD080000}"/>
    <cellStyle name="一般 2 2 3" xfId="1250" xr:uid="{00000000-0005-0000-0000-0000CE080000}"/>
    <cellStyle name="一般 2 2 4" xfId="30" xr:uid="{00000000-0005-0000-0000-0000CF080000}"/>
    <cellStyle name="一般 2 3" xfId="1251" xr:uid="{00000000-0005-0000-0000-0000D0080000}"/>
    <cellStyle name="一般 2 3 2" xfId="1252" xr:uid="{00000000-0005-0000-0000-0000D1080000}"/>
    <cellStyle name="一般 2 3 3" xfId="1253" xr:uid="{00000000-0005-0000-0000-0000D2080000}"/>
    <cellStyle name="一般 2 4" xfId="1254" xr:uid="{00000000-0005-0000-0000-0000D3080000}"/>
    <cellStyle name="一般 2 4 2" xfId="1255" xr:uid="{00000000-0005-0000-0000-0000D4080000}"/>
    <cellStyle name="一般 2 5" xfId="1256" xr:uid="{00000000-0005-0000-0000-0000D5080000}"/>
    <cellStyle name="一般 2 6" xfId="1257" xr:uid="{00000000-0005-0000-0000-0000D6080000}"/>
    <cellStyle name="一般 2 7" xfId="1258" xr:uid="{00000000-0005-0000-0000-0000D7080000}"/>
    <cellStyle name="一般 2 8" xfId="8" xr:uid="{00000000-0005-0000-0000-0000D8080000}"/>
    <cellStyle name="一般 2_IP 29(WTP)" xfId="1259" xr:uid="{00000000-0005-0000-0000-0000D9080000}"/>
    <cellStyle name="一般 3" xfId="5" xr:uid="{00000000-0005-0000-0000-0000DA080000}"/>
    <cellStyle name="一般 3 2" xfId="25" xr:uid="{00000000-0005-0000-0000-0000DB080000}"/>
    <cellStyle name="一般 3 2 2" xfId="1260" xr:uid="{00000000-0005-0000-0000-0000DC080000}"/>
    <cellStyle name="一般 3 2 3" xfId="1261" xr:uid="{00000000-0005-0000-0000-0000DD080000}"/>
    <cellStyle name="一般 3 3" xfId="1262" xr:uid="{00000000-0005-0000-0000-0000DE080000}"/>
    <cellStyle name="一般 3 4" xfId="1263" xr:uid="{00000000-0005-0000-0000-0000DF080000}"/>
    <cellStyle name="一般 3 5" xfId="11" xr:uid="{00000000-0005-0000-0000-0000E0080000}"/>
    <cellStyle name="一般 3_IP 29(WTP)" xfId="1264" xr:uid="{00000000-0005-0000-0000-0000E1080000}"/>
    <cellStyle name="一般 4" xfId="17" xr:uid="{00000000-0005-0000-0000-0000E2080000}"/>
    <cellStyle name="一般 4 2" xfId="1265" xr:uid="{00000000-0005-0000-0000-0000E3080000}"/>
    <cellStyle name="一般 4 2 2" xfId="1266" xr:uid="{00000000-0005-0000-0000-0000E4080000}"/>
    <cellStyle name="一般 4 3" xfId="1267" xr:uid="{00000000-0005-0000-0000-0000E5080000}"/>
    <cellStyle name="一般 4 3 2" xfId="1268" xr:uid="{00000000-0005-0000-0000-0000E6080000}"/>
    <cellStyle name="一般 4 4" xfId="1269" xr:uid="{00000000-0005-0000-0000-0000E7080000}"/>
    <cellStyle name="一般 4 4 2" xfId="1270" xr:uid="{00000000-0005-0000-0000-0000E8080000}"/>
    <cellStyle name="一般 4 5" xfId="1271" xr:uid="{00000000-0005-0000-0000-0000E9080000}"/>
    <cellStyle name="一般 4 6" xfId="2673" xr:uid="{00000000-0005-0000-0000-0000EA080000}"/>
    <cellStyle name="一般 4_IP 29(WTP)" xfId="1272" xr:uid="{00000000-0005-0000-0000-0000EB080000}"/>
    <cellStyle name="一般 5" xfId="18" xr:uid="{00000000-0005-0000-0000-0000EC080000}"/>
    <cellStyle name="一般 5 2" xfId="26" xr:uid="{00000000-0005-0000-0000-0000ED080000}"/>
    <cellStyle name="一般 5 2 2" xfId="1273" xr:uid="{00000000-0005-0000-0000-0000EE080000}"/>
    <cellStyle name="一般 6" xfId="19" xr:uid="{00000000-0005-0000-0000-0000EF080000}"/>
    <cellStyle name="一般 6 2" xfId="1274" xr:uid="{00000000-0005-0000-0000-0000F0080000}"/>
    <cellStyle name="一般 6 2 2" xfId="1275" xr:uid="{00000000-0005-0000-0000-0000F1080000}"/>
    <cellStyle name="一般 6 3" xfId="1276" xr:uid="{00000000-0005-0000-0000-0000F2080000}"/>
    <cellStyle name="一般 6 3 2" xfId="1277" xr:uid="{00000000-0005-0000-0000-0000F3080000}"/>
    <cellStyle name="一般 6_IP 29(WTP)" xfId="1278" xr:uid="{00000000-0005-0000-0000-0000F4080000}"/>
    <cellStyle name="一般 7" xfId="20" xr:uid="{00000000-0005-0000-0000-0000F5080000}"/>
    <cellStyle name="一般 7 2" xfId="1279" xr:uid="{00000000-0005-0000-0000-0000F6080000}"/>
    <cellStyle name="一般 7 2 2" xfId="1280" xr:uid="{00000000-0005-0000-0000-0000F7080000}"/>
    <cellStyle name="一般 7 3" xfId="1281" xr:uid="{00000000-0005-0000-0000-0000F8080000}"/>
    <cellStyle name="一般 7 4" xfId="1282" xr:uid="{00000000-0005-0000-0000-0000F9080000}"/>
    <cellStyle name="一般 7 4 2" xfId="1283" xr:uid="{00000000-0005-0000-0000-0000FA080000}"/>
    <cellStyle name="一般 8" xfId="21" xr:uid="{00000000-0005-0000-0000-0000FB080000}"/>
    <cellStyle name="一般 8 2" xfId="1284" xr:uid="{00000000-0005-0000-0000-0000FC080000}"/>
    <cellStyle name="一般 8 2 2" xfId="1285" xr:uid="{00000000-0005-0000-0000-0000FD080000}"/>
    <cellStyle name="一般 8 3" xfId="1286" xr:uid="{00000000-0005-0000-0000-0000FE080000}"/>
    <cellStyle name="一般 8 4" xfId="1287" xr:uid="{00000000-0005-0000-0000-0000FF080000}"/>
    <cellStyle name="一般 9" xfId="22" xr:uid="{00000000-0005-0000-0000-000000090000}"/>
    <cellStyle name="一般 9 2" xfId="1288" xr:uid="{00000000-0005-0000-0000-000001090000}"/>
    <cellStyle name="一般 9 3" xfId="1289" xr:uid="{00000000-0005-0000-0000-000002090000}"/>
    <cellStyle name="千分位" xfId="1" builtinId="3"/>
    <cellStyle name="千分位 10" xfId="1290" xr:uid="{00000000-0005-0000-0000-000004090000}"/>
    <cellStyle name="千分位 2" xfId="4" xr:uid="{00000000-0005-0000-0000-000005090000}"/>
    <cellStyle name="千分位 2 2" xfId="12" xr:uid="{00000000-0005-0000-0000-000006090000}"/>
    <cellStyle name="千分位 2 2 2" xfId="1291" xr:uid="{00000000-0005-0000-0000-000007090000}"/>
    <cellStyle name="千分位 2 2 3" xfId="1292" xr:uid="{00000000-0005-0000-0000-000008090000}"/>
    <cellStyle name="千分位 2 3" xfId="1293" xr:uid="{00000000-0005-0000-0000-000009090000}"/>
    <cellStyle name="千分位 2 3 2" xfId="1294" xr:uid="{00000000-0005-0000-0000-00000A090000}"/>
    <cellStyle name="千分位 2 3 2 2" xfId="1295" xr:uid="{00000000-0005-0000-0000-00000B090000}"/>
    <cellStyle name="千分位 2 3 3" xfId="1296" xr:uid="{00000000-0005-0000-0000-00000C090000}"/>
    <cellStyle name="千分位 2 3 3 2" xfId="1297" xr:uid="{00000000-0005-0000-0000-00000D090000}"/>
    <cellStyle name="千分位 2 4" xfId="1298" xr:uid="{00000000-0005-0000-0000-00000E090000}"/>
    <cellStyle name="千分位 2 4 2" xfId="1299" xr:uid="{00000000-0005-0000-0000-00000F090000}"/>
    <cellStyle name="千分位 2 5" xfId="1300" xr:uid="{00000000-0005-0000-0000-000010090000}"/>
    <cellStyle name="千分位 2 6" xfId="1301" xr:uid="{00000000-0005-0000-0000-000011090000}"/>
    <cellStyle name="千分位 2 7" xfId="1302" xr:uid="{00000000-0005-0000-0000-000012090000}"/>
    <cellStyle name="千分位 2 8" xfId="23" xr:uid="{00000000-0005-0000-0000-000013090000}"/>
    <cellStyle name="千分位 3" xfId="9" xr:uid="{00000000-0005-0000-0000-000014090000}"/>
    <cellStyle name="千分位 3 2" xfId="1303" xr:uid="{00000000-0005-0000-0000-000015090000}"/>
    <cellStyle name="千分位 3 2 2" xfId="31" xr:uid="{00000000-0005-0000-0000-000016090000}"/>
    <cellStyle name="千分位 3 3" xfId="1304" xr:uid="{00000000-0005-0000-0000-000017090000}"/>
    <cellStyle name="千分位 3 4" xfId="1305" xr:uid="{00000000-0005-0000-0000-000018090000}"/>
    <cellStyle name="千分位 3 5" xfId="1306" xr:uid="{00000000-0005-0000-0000-000019090000}"/>
    <cellStyle name="千分位 3 6" xfId="1307" xr:uid="{00000000-0005-0000-0000-00001A090000}"/>
    <cellStyle name="千分位 3 6 2" xfId="1308" xr:uid="{00000000-0005-0000-0000-00001B090000}"/>
    <cellStyle name="千分位 3 7" xfId="1309" xr:uid="{00000000-0005-0000-0000-00001C090000}"/>
    <cellStyle name="千分位 3 8" xfId="1310" xr:uid="{00000000-0005-0000-0000-00001D090000}"/>
    <cellStyle name="千分位 3_IP 29(WTP)" xfId="1311" xr:uid="{00000000-0005-0000-0000-00001E090000}"/>
    <cellStyle name="千分位 4" xfId="1312" xr:uid="{00000000-0005-0000-0000-00001F090000}"/>
    <cellStyle name="千分位 4 2" xfId="1313" xr:uid="{00000000-0005-0000-0000-000020090000}"/>
    <cellStyle name="千分位 4 2 2" xfId="1314" xr:uid="{00000000-0005-0000-0000-000021090000}"/>
    <cellStyle name="千分位 4 2 3" xfId="1315" xr:uid="{00000000-0005-0000-0000-000022090000}"/>
    <cellStyle name="千分位 4 3" xfId="1316" xr:uid="{00000000-0005-0000-0000-000023090000}"/>
    <cellStyle name="千分位 4 4" xfId="1317" xr:uid="{00000000-0005-0000-0000-000024090000}"/>
    <cellStyle name="千分位 4 5" xfId="29" xr:uid="{00000000-0005-0000-0000-000025090000}"/>
    <cellStyle name="千分位 4 6" xfId="2674" xr:uid="{00000000-0005-0000-0000-000026090000}"/>
    <cellStyle name="千分位 4_IP 29(WTP)" xfId="1318" xr:uid="{00000000-0005-0000-0000-000027090000}"/>
    <cellStyle name="千分位 5" xfId="1319" xr:uid="{00000000-0005-0000-0000-000028090000}"/>
    <cellStyle name="千分位 5 2" xfId="1320" xr:uid="{00000000-0005-0000-0000-000029090000}"/>
    <cellStyle name="千分位 5 3" xfId="1321" xr:uid="{00000000-0005-0000-0000-00002A090000}"/>
    <cellStyle name="千分位 5 3 2" xfId="1322" xr:uid="{00000000-0005-0000-0000-00002B090000}"/>
    <cellStyle name="千分位 5_IP 29(WTP)" xfId="1323" xr:uid="{00000000-0005-0000-0000-00002C090000}"/>
    <cellStyle name="千分位 6" xfId="1324" xr:uid="{00000000-0005-0000-0000-00002D090000}"/>
    <cellStyle name="千分位 6 2" xfId="1325" xr:uid="{00000000-0005-0000-0000-00002E090000}"/>
    <cellStyle name="千分位 6 2 2" xfId="1326" xr:uid="{00000000-0005-0000-0000-00002F090000}"/>
    <cellStyle name="千分位 6 3" xfId="1327" xr:uid="{00000000-0005-0000-0000-000030090000}"/>
    <cellStyle name="千分位 6 3 2" xfId="1328" xr:uid="{00000000-0005-0000-0000-000031090000}"/>
    <cellStyle name="千分位 7" xfId="1329" xr:uid="{00000000-0005-0000-0000-000032090000}"/>
    <cellStyle name="千分位 7 2" xfId="1330" xr:uid="{00000000-0005-0000-0000-000033090000}"/>
    <cellStyle name="千分位 7 3" xfId="1331" xr:uid="{00000000-0005-0000-0000-000034090000}"/>
    <cellStyle name="千分位 8" xfId="1332" xr:uid="{00000000-0005-0000-0000-000035090000}"/>
    <cellStyle name="千分位 9" xfId="1333" xr:uid="{00000000-0005-0000-0000-000036090000}"/>
    <cellStyle name="千分位[0] 2" xfId="1334" xr:uid="{00000000-0005-0000-0000-000037090000}"/>
    <cellStyle name="千分位[0] 3" xfId="1335" xr:uid="{00000000-0005-0000-0000-000038090000}"/>
    <cellStyle name="千分位[0]n⸳‰" xfId="1336" xr:uid="{00000000-0005-0000-0000-000039090000}"/>
    <cellStyle name="千分位[0]n⸳‰ 2" xfId="1337" xr:uid="{00000000-0005-0000-0000-00003A090000}"/>
    <cellStyle name="千分位[0]n⸳‰ 2 2" xfId="1338" xr:uid="{00000000-0005-0000-0000-00003B090000}"/>
    <cellStyle name="千分位[0]n⸳‰ 2 3" xfId="1339" xr:uid="{00000000-0005-0000-0000-00003C090000}"/>
    <cellStyle name="千分位[0]n⸳‰ 3" xfId="1340" xr:uid="{00000000-0005-0000-0000-00003D090000}"/>
    <cellStyle name="千分位[0]n⸳‰ 4" xfId="1341" xr:uid="{00000000-0005-0000-0000-00003E090000}"/>
    <cellStyle name="千位分隔 2" xfId="1342" xr:uid="{00000000-0005-0000-0000-00003F090000}"/>
    <cellStyle name="千位分隔 2 2" xfId="1343" xr:uid="{00000000-0005-0000-0000-000040090000}"/>
    <cellStyle name="千位分隔 2 3" xfId="1344" xr:uid="{00000000-0005-0000-0000-000041090000}"/>
    <cellStyle name="千位分隔_Sheet1" xfId="1345" xr:uid="{00000000-0005-0000-0000-000042090000}"/>
    <cellStyle name="中等 2" xfId="1346" xr:uid="{00000000-0005-0000-0000-000043090000}"/>
    <cellStyle name="中等 3" xfId="1347" xr:uid="{00000000-0005-0000-0000-000044090000}"/>
    <cellStyle name="文字" xfId="1348" xr:uid="{00000000-0005-0000-0000-000045090000}"/>
    <cellStyle name="日期" xfId="1349" xr:uid="{00000000-0005-0000-0000-000046090000}"/>
    <cellStyle name="计算" xfId="2196" xr:uid="{00000000-0005-0000-0000-000047090000}"/>
    <cellStyle name="计算 2" xfId="2197" xr:uid="{00000000-0005-0000-0000-000048090000}"/>
    <cellStyle name="计算 2 2" xfId="2198" xr:uid="{00000000-0005-0000-0000-000049090000}"/>
    <cellStyle name="计算 2 2 10" xfId="2199" xr:uid="{00000000-0005-0000-0000-00004A090000}"/>
    <cellStyle name="计算 2 2 10 2" xfId="3792" xr:uid="{00000000-0005-0000-0000-00004B090000}"/>
    <cellStyle name="计算 2 2 11" xfId="2200" xr:uid="{00000000-0005-0000-0000-00004C090000}"/>
    <cellStyle name="计算 2 2 11 2" xfId="3793" xr:uid="{00000000-0005-0000-0000-00004D090000}"/>
    <cellStyle name="计算 2 2 12" xfId="2201" xr:uid="{00000000-0005-0000-0000-00004E090000}"/>
    <cellStyle name="计算 2 2 12 2" xfId="3794" xr:uid="{00000000-0005-0000-0000-00004F090000}"/>
    <cellStyle name="计算 2 2 13" xfId="2202" xr:uid="{00000000-0005-0000-0000-000050090000}"/>
    <cellStyle name="计算 2 2 13 2" xfId="3795" xr:uid="{00000000-0005-0000-0000-000051090000}"/>
    <cellStyle name="计算 2 2 14" xfId="3791" xr:uid="{00000000-0005-0000-0000-000052090000}"/>
    <cellStyle name="计算 2 2 2" xfId="2203" xr:uid="{00000000-0005-0000-0000-000053090000}"/>
    <cellStyle name="计算 2 2 2 2" xfId="3796" xr:uid="{00000000-0005-0000-0000-000054090000}"/>
    <cellStyle name="计算 2 2 3" xfId="2204" xr:uid="{00000000-0005-0000-0000-000055090000}"/>
    <cellStyle name="计算 2 2 3 2" xfId="3797" xr:uid="{00000000-0005-0000-0000-000056090000}"/>
    <cellStyle name="计算 2 2 4" xfId="2205" xr:uid="{00000000-0005-0000-0000-000057090000}"/>
    <cellStyle name="计算 2 2 4 2" xfId="3798" xr:uid="{00000000-0005-0000-0000-000058090000}"/>
    <cellStyle name="计算 2 2 5" xfId="2206" xr:uid="{00000000-0005-0000-0000-000059090000}"/>
    <cellStyle name="计算 2 2 5 2" xfId="3799" xr:uid="{00000000-0005-0000-0000-00005A090000}"/>
    <cellStyle name="计算 2 2 6" xfId="2207" xr:uid="{00000000-0005-0000-0000-00005B090000}"/>
    <cellStyle name="计算 2 2 6 2" xfId="3800" xr:uid="{00000000-0005-0000-0000-00005C090000}"/>
    <cellStyle name="计算 2 2 7" xfId="2208" xr:uid="{00000000-0005-0000-0000-00005D090000}"/>
    <cellStyle name="计算 2 2 7 2" xfId="3801" xr:uid="{00000000-0005-0000-0000-00005E090000}"/>
    <cellStyle name="计算 2 2 8" xfId="2209" xr:uid="{00000000-0005-0000-0000-00005F090000}"/>
    <cellStyle name="计算 2 2 8 2" xfId="3802" xr:uid="{00000000-0005-0000-0000-000060090000}"/>
    <cellStyle name="计算 2 2 9" xfId="2210" xr:uid="{00000000-0005-0000-0000-000061090000}"/>
    <cellStyle name="计算 2 2 9 2" xfId="3803" xr:uid="{00000000-0005-0000-0000-000062090000}"/>
    <cellStyle name="计算 2 3" xfId="2211" xr:uid="{00000000-0005-0000-0000-000063090000}"/>
    <cellStyle name="计算 2 3 10" xfId="2212" xr:uid="{00000000-0005-0000-0000-000064090000}"/>
    <cellStyle name="计算 2 3 10 2" xfId="3805" xr:uid="{00000000-0005-0000-0000-000065090000}"/>
    <cellStyle name="计算 2 3 11" xfId="2213" xr:uid="{00000000-0005-0000-0000-000066090000}"/>
    <cellStyle name="计算 2 3 11 2" xfId="3806" xr:uid="{00000000-0005-0000-0000-000067090000}"/>
    <cellStyle name="计算 2 3 12" xfId="2214" xr:uid="{00000000-0005-0000-0000-000068090000}"/>
    <cellStyle name="计算 2 3 12 2" xfId="3807" xr:uid="{00000000-0005-0000-0000-000069090000}"/>
    <cellStyle name="计算 2 3 13" xfId="2215" xr:uid="{00000000-0005-0000-0000-00006A090000}"/>
    <cellStyle name="计算 2 3 13 2" xfId="3808" xr:uid="{00000000-0005-0000-0000-00006B090000}"/>
    <cellStyle name="计算 2 3 14" xfId="3804" xr:uid="{00000000-0005-0000-0000-00006C090000}"/>
    <cellStyle name="计算 2 3 2" xfId="2216" xr:uid="{00000000-0005-0000-0000-00006D090000}"/>
    <cellStyle name="计算 2 3 2 2" xfId="3809" xr:uid="{00000000-0005-0000-0000-00006E090000}"/>
    <cellStyle name="计算 2 3 3" xfId="2217" xr:uid="{00000000-0005-0000-0000-00006F090000}"/>
    <cellStyle name="计算 2 3 3 2" xfId="3810" xr:uid="{00000000-0005-0000-0000-000070090000}"/>
    <cellStyle name="计算 2 3 4" xfId="2218" xr:uid="{00000000-0005-0000-0000-000071090000}"/>
    <cellStyle name="计算 2 3 4 2" xfId="3811" xr:uid="{00000000-0005-0000-0000-000072090000}"/>
    <cellStyle name="计算 2 3 5" xfId="2219" xr:uid="{00000000-0005-0000-0000-000073090000}"/>
    <cellStyle name="计算 2 3 5 2" xfId="3812" xr:uid="{00000000-0005-0000-0000-000074090000}"/>
    <cellStyle name="计算 2 3 6" xfId="2220" xr:uid="{00000000-0005-0000-0000-000075090000}"/>
    <cellStyle name="计算 2 3 6 2" xfId="3813" xr:uid="{00000000-0005-0000-0000-000076090000}"/>
    <cellStyle name="计算 2 3 7" xfId="2221" xr:uid="{00000000-0005-0000-0000-000077090000}"/>
    <cellStyle name="计算 2 3 7 2" xfId="3814" xr:uid="{00000000-0005-0000-0000-000078090000}"/>
    <cellStyle name="计算 2 3 8" xfId="2222" xr:uid="{00000000-0005-0000-0000-000079090000}"/>
    <cellStyle name="计算 2 3 8 2" xfId="3815" xr:uid="{00000000-0005-0000-0000-00007A090000}"/>
    <cellStyle name="计算 2 3 9" xfId="2223" xr:uid="{00000000-0005-0000-0000-00007B090000}"/>
    <cellStyle name="计算 2 3 9 2" xfId="3816" xr:uid="{00000000-0005-0000-0000-00007C090000}"/>
    <cellStyle name="计算 2 4" xfId="3790" xr:uid="{00000000-0005-0000-0000-00007D090000}"/>
    <cellStyle name="计算 3" xfId="2224" xr:uid="{00000000-0005-0000-0000-00007E090000}"/>
    <cellStyle name="计算 3 2" xfId="2225" xr:uid="{00000000-0005-0000-0000-00007F090000}"/>
    <cellStyle name="计算 3 2 10" xfId="2226" xr:uid="{00000000-0005-0000-0000-000080090000}"/>
    <cellStyle name="计算 3 2 10 2" xfId="3819" xr:uid="{00000000-0005-0000-0000-000081090000}"/>
    <cellStyle name="计算 3 2 11" xfId="2227" xr:uid="{00000000-0005-0000-0000-000082090000}"/>
    <cellStyle name="计算 3 2 11 2" xfId="3820" xr:uid="{00000000-0005-0000-0000-000083090000}"/>
    <cellStyle name="计算 3 2 12" xfId="2228" xr:uid="{00000000-0005-0000-0000-000084090000}"/>
    <cellStyle name="计算 3 2 12 2" xfId="3821" xr:uid="{00000000-0005-0000-0000-000085090000}"/>
    <cellStyle name="计算 3 2 13" xfId="2229" xr:uid="{00000000-0005-0000-0000-000086090000}"/>
    <cellStyle name="计算 3 2 13 2" xfId="3822" xr:uid="{00000000-0005-0000-0000-000087090000}"/>
    <cellStyle name="计算 3 2 14" xfId="3818" xr:uid="{00000000-0005-0000-0000-000088090000}"/>
    <cellStyle name="计算 3 2 2" xfId="2230" xr:uid="{00000000-0005-0000-0000-000089090000}"/>
    <cellStyle name="计算 3 2 2 2" xfId="3823" xr:uid="{00000000-0005-0000-0000-00008A090000}"/>
    <cellStyle name="计算 3 2 3" xfId="2231" xr:uid="{00000000-0005-0000-0000-00008B090000}"/>
    <cellStyle name="计算 3 2 3 2" xfId="3824" xr:uid="{00000000-0005-0000-0000-00008C090000}"/>
    <cellStyle name="计算 3 2 4" xfId="2232" xr:uid="{00000000-0005-0000-0000-00008D090000}"/>
    <cellStyle name="计算 3 2 4 2" xfId="3825" xr:uid="{00000000-0005-0000-0000-00008E090000}"/>
    <cellStyle name="计算 3 2 5" xfId="2233" xr:uid="{00000000-0005-0000-0000-00008F090000}"/>
    <cellStyle name="计算 3 2 5 2" xfId="3826" xr:uid="{00000000-0005-0000-0000-000090090000}"/>
    <cellStyle name="计算 3 2 6" xfId="2234" xr:uid="{00000000-0005-0000-0000-000091090000}"/>
    <cellStyle name="计算 3 2 6 2" xfId="3827" xr:uid="{00000000-0005-0000-0000-000092090000}"/>
    <cellStyle name="计算 3 2 7" xfId="2235" xr:uid="{00000000-0005-0000-0000-000093090000}"/>
    <cellStyle name="计算 3 2 7 2" xfId="3828" xr:uid="{00000000-0005-0000-0000-000094090000}"/>
    <cellStyle name="计算 3 2 8" xfId="2236" xr:uid="{00000000-0005-0000-0000-000095090000}"/>
    <cellStyle name="计算 3 2 8 2" xfId="3829" xr:uid="{00000000-0005-0000-0000-000096090000}"/>
    <cellStyle name="计算 3 2 9" xfId="2237" xr:uid="{00000000-0005-0000-0000-000097090000}"/>
    <cellStyle name="计算 3 2 9 2" xfId="3830" xr:uid="{00000000-0005-0000-0000-000098090000}"/>
    <cellStyle name="计算 3 3" xfId="2238" xr:uid="{00000000-0005-0000-0000-000099090000}"/>
    <cellStyle name="计算 3 3 10" xfId="2239" xr:uid="{00000000-0005-0000-0000-00009A090000}"/>
    <cellStyle name="计算 3 3 10 2" xfId="3832" xr:uid="{00000000-0005-0000-0000-00009B090000}"/>
    <cellStyle name="计算 3 3 11" xfId="2240" xr:uid="{00000000-0005-0000-0000-00009C090000}"/>
    <cellStyle name="计算 3 3 11 2" xfId="3833" xr:uid="{00000000-0005-0000-0000-00009D090000}"/>
    <cellStyle name="计算 3 3 12" xfId="2241" xr:uid="{00000000-0005-0000-0000-00009E090000}"/>
    <cellStyle name="计算 3 3 12 2" xfId="3834" xr:uid="{00000000-0005-0000-0000-00009F090000}"/>
    <cellStyle name="计算 3 3 13" xfId="2242" xr:uid="{00000000-0005-0000-0000-0000A0090000}"/>
    <cellStyle name="计算 3 3 13 2" xfId="3835" xr:uid="{00000000-0005-0000-0000-0000A1090000}"/>
    <cellStyle name="计算 3 3 14" xfId="3831" xr:uid="{00000000-0005-0000-0000-0000A2090000}"/>
    <cellStyle name="计算 3 3 2" xfId="2243" xr:uid="{00000000-0005-0000-0000-0000A3090000}"/>
    <cellStyle name="计算 3 3 2 2" xfId="3836" xr:uid="{00000000-0005-0000-0000-0000A4090000}"/>
    <cellStyle name="计算 3 3 3" xfId="2244" xr:uid="{00000000-0005-0000-0000-0000A5090000}"/>
    <cellStyle name="计算 3 3 3 2" xfId="3837" xr:uid="{00000000-0005-0000-0000-0000A6090000}"/>
    <cellStyle name="计算 3 3 4" xfId="2245" xr:uid="{00000000-0005-0000-0000-0000A7090000}"/>
    <cellStyle name="计算 3 3 4 2" xfId="3838" xr:uid="{00000000-0005-0000-0000-0000A8090000}"/>
    <cellStyle name="计算 3 3 5" xfId="2246" xr:uid="{00000000-0005-0000-0000-0000A9090000}"/>
    <cellStyle name="计算 3 3 5 2" xfId="3839" xr:uid="{00000000-0005-0000-0000-0000AA090000}"/>
    <cellStyle name="计算 3 3 6" xfId="2247" xr:uid="{00000000-0005-0000-0000-0000AB090000}"/>
    <cellStyle name="计算 3 3 6 2" xfId="3840" xr:uid="{00000000-0005-0000-0000-0000AC090000}"/>
    <cellStyle name="计算 3 3 7" xfId="2248" xr:uid="{00000000-0005-0000-0000-0000AD090000}"/>
    <cellStyle name="计算 3 3 7 2" xfId="3841" xr:uid="{00000000-0005-0000-0000-0000AE090000}"/>
    <cellStyle name="计算 3 3 8" xfId="2249" xr:uid="{00000000-0005-0000-0000-0000AF090000}"/>
    <cellStyle name="计算 3 3 8 2" xfId="3842" xr:uid="{00000000-0005-0000-0000-0000B0090000}"/>
    <cellStyle name="计算 3 3 9" xfId="2250" xr:uid="{00000000-0005-0000-0000-0000B1090000}"/>
    <cellStyle name="计算 3 3 9 2" xfId="3843" xr:uid="{00000000-0005-0000-0000-0000B2090000}"/>
    <cellStyle name="计算 3 4" xfId="3817" xr:uid="{00000000-0005-0000-0000-0000B3090000}"/>
    <cellStyle name="计算 4" xfId="2251" xr:uid="{00000000-0005-0000-0000-0000B4090000}"/>
    <cellStyle name="计算 4 10" xfId="2252" xr:uid="{00000000-0005-0000-0000-0000B5090000}"/>
    <cellStyle name="计算 4 10 2" xfId="3845" xr:uid="{00000000-0005-0000-0000-0000B6090000}"/>
    <cellStyle name="计算 4 11" xfId="2253" xr:uid="{00000000-0005-0000-0000-0000B7090000}"/>
    <cellStyle name="计算 4 11 2" xfId="3846" xr:uid="{00000000-0005-0000-0000-0000B8090000}"/>
    <cellStyle name="计算 4 12" xfId="2254" xr:uid="{00000000-0005-0000-0000-0000B9090000}"/>
    <cellStyle name="计算 4 12 2" xfId="3847" xr:uid="{00000000-0005-0000-0000-0000BA090000}"/>
    <cellStyle name="计算 4 13" xfId="2255" xr:uid="{00000000-0005-0000-0000-0000BB090000}"/>
    <cellStyle name="计算 4 13 2" xfId="3848" xr:uid="{00000000-0005-0000-0000-0000BC090000}"/>
    <cellStyle name="计算 4 14" xfId="3844" xr:uid="{00000000-0005-0000-0000-0000BD090000}"/>
    <cellStyle name="计算 4 2" xfId="2256" xr:uid="{00000000-0005-0000-0000-0000BE090000}"/>
    <cellStyle name="计算 4 2 2" xfId="3849" xr:uid="{00000000-0005-0000-0000-0000BF090000}"/>
    <cellStyle name="计算 4 3" xfId="2257" xr:uid="{00000000-0005-0000-0000-0000C0090000}"/>
    <cellStyle name="计算 4 3 2" xfId="3850" xr:uid="{00000000-0005-0000-0000-0000C1090000}"/>
    <cellStyle name="计算 4 4" xfId="2258" xr:uid="{00000000-0005-0000-0000-0000C2090000}"/>
    <cellStyle name="计算 4 4 2" xfId="3851" xr:uid="{00000000-0005-0000-0000-0000C3090000}"/>
    <cellStyle name="计算 4 5" xfId="2259" xr:uid="{00000000-0005-0000-0000-0000C4090000}"/>
    <cellStyle name="计算 4 5 2" xfId="3852" xr:uid="{00000000-0005-0000-0000-0000C5090000}"/>
    <cellStyle name="计算 4 6" xfId="2260" xr:uid="{00000000-0005-0000-0000-0000C6090000}"/>
    <cellStyle name="计算 4 6 2" xfId="3853" xr:uid="{00000000-0005-0000-0000-0000C7090000}"/>
    <cellStyle name="计算 4 7" xfId="2261" xr:uid="{00000000-0005-0000-0000-0000C8090000}"/>
    <cellStyle name="计算 4 7 2" xfId="3854" xr:uid="{00000000-0005-0000-0000-0000C9090000}"/>
    <cellStyle name="计算 4 8" xfId="2262" xr:uid="{00000000-0005-0000-0000-0000CA090000}"/>
    <cellStyle name="计算 4 8 2" xfId="3855" xr:uid="{00000000-0005-0000-0000-0000CB090000}"/>
    <cellStyle name="计算 4 9" xfId="2263" xr:uid="{00000000-0005-0000-0000-0000CC090000}"/>
    <cellStyle name="计算 4 9 2" xfId="3856" xr:uid="{00000000-0005-0000-0000-0000CD090000}"/>
    <cellStyle name="计算 5" xfId="2264" xr:uid="{00000000-0005-0000-0000-0000CE090000}"/>
    <cellStyle name="计算 5 10" xfId="2265" xr:uid="{00000000-0005-0000-0000-0000CF090000}"/>
    <cellStyle name="计算 5 10 2" xfId="3858" xr:uid="{00000000-0005-0000-0000-0000D0090000}"/>
    <cellStyle name="计算 5 11" xfId="2266" xr:uid="{00000000-0005-0000-0000-0000D1090000}"/>
    <cellStyle name="计算 5 11 2" xfId="3859" xr:uid="{00000000-0005-0000-0000-0000D2090000}"/>
    <cellStyle name="计算 5 12" xfId="2267" xr:uid="{00000000-0005-0000-0000-0000D3090000}"/>
    <cellStyle name="计算 5 12 2" xfId="3860" xr:uid="{00000000-0005-0000-0000-0000D4090000}"/>
    <cellStyle name="计算 5 13" xfId="2268" xr:uid="{00000000-0005-0000-0000-0000D5090000}"/>
    <cellStyle name="计算 5 13 2" xfId="3861" xr:uid="{00000000-0005-0000-0000-0000D6090000}"/>
    <cellStyle name="计算 5 14" xfId="3857" xr:uid="{00000000-0005-0000-0000-0000D7090000}"/>
    <cellStyle name="计算 5 2" xfId="2269" xr:uid="{00000000-0005-0000-0000-0000D8090000}"/>
    <cellStyle name="计算 5 2 2" xfId="3862" xr:uid="{00000000-0005-0000-0000-0000D9090000}"/>
    <cellStyle name="计算 5 3" xfId="2270" xr:uid="{00000000-0005-0000-0000-0000DA090000}"/>
    <cellStyle name="计算 5 3 2" xfId="3863" xr:uid="{00000000-0005-0000-0000-0000DB090000}"/>
    <cellStyle name="计算 5 4" xfId="2271" xr:uid="{00000000-0005-0000-0000-0000DC090000}"/>
    <cellStyle name="计算 5 4 2" xfId="3864" xr:uid="{00000000-0005-0000-0000-0000DD090000}"/>
    <cellStyle name="计算 5 5" xfId="2272" xr:uid="{00000000-0005-0000-0000-0000DE090000}"/>
    <cellStyle name="计算 5 5 2" xfId="3865" xr:uid="{00000000-0005-0000-0000-0000DF090000}"/>
    <cellStyle name="计算 5 6" xfId="2273" xr:uid="{00000000-0005-0000-0000-0000E0090000}"/>
    <cellStyle name="计算 5 6 2" xfId="3866" xr:uid="{00000000-0005-0000-0000-0000E1090000}"/>
    <cellStyle name="计算 5 7" xfId="2274" xr:uid="{00000000-0005-0000-0000-0000E2090000}"/>
    <cellStyle name="计算 5 7 2" xfId="3867" xr:uid="{00000000-0005-0000-0000-0000E3090000}"/>
    <cellStyle name="计算 5 8" xfId="2275" xr:uid="{00000000-0005-0000-0000-0000E4090000}"/>
    <cellStyle name="计算 5 8 2" xfId="3868" xr:uid="{00000000-0005-0000-0000-0000E5090000}"/>
    <cellStyle name="计算 5 9" xfId="2276" xr:uid="{00000000-0005-0000-0000-0000E6090000}"/>
    <cellStyle name="计算 5 9 2" xfId="3869" xr:uid="{00000000-0005-0000-0000-0000E7090000}"/>
    <cellStyle name="计算 6" xfId="3789" xr:uid="{00000000-0005-0000-0000-0000E8090000}"/>
    <cellStyle name="汇总" xfId="2151" xr:uid="{00000000-0005-0000-0000-0000E9090000}"/>
    <cellStyle name="汇总 2" xfId="2152" xr:uid="{00000000-0005-0000-0000-0000EA090000}"/>
    <cellStyle name="汇总 2 2" xfId="2153" xr:uid="{00000000-0005-0000-0000-0000EB090000}"/>
    <cellStyle name="汇总 2 2 10" xfId="2154" xr:uid="{00000000-0005-0000-0000-0000EC090000}"/>
    <cellStyle name="汇总 2 2 10 2" xfId="2631" xr:uid="{00000000-0005-0000-0000-0000ED090000}"/>
    <cellStyle name="汇总 2 2 10 2 2" xfId="4221" xr:uid="{00000000-0005-0000-0000-0000EE090000}"/>
    <cellStyle name="汇总 2 2 10 3" xfId="3747" xr:uid="{00000000-0005-0000-0000-0000EF090000}"/>
    <cellStyle name="汇总 2 2 11" xfId="2155" xr:uid="{00000000-0005-0000-0000-0000F0090000}"/>
    <cellStyle name="汇总 2 2 11 2" xfId="2632" xr:uid="{00000000-0005-0000-0000-0000F1090000}"/>
    <cellStyle name="汇总 2 2 11 2 2" xfId="4222" xr:uid="{00000000-0005-0000-0000-0000F2090000}"/>
    <cellStyle name="汇总 2 2 11 3" xfId="3748" xr:uid="{00000000-0005-0000-0000-0000F3090000}"/>
    <cellStyle name="汇总 2 2 12" xfId="2156" xr:uid="{00000000-0005-0000-0000-0000F4090000}"/>
    <cellStyle name="汇总 2 2 12 2" xfId="2633" xr:uid="{00000000-0005-0000-0000-0000F5090000}"/>
    <cellStyle name="汇总 2 2 12 2 2" xfId="4223" xr:uid="{00000000-0005-0000-0000-0000F6090000}"/>
    <cellStyle name="汇总 2 2 12 3" xfId="3749" xr:uid="{00000000-0005-0000-0000-0000F7090000}"/>
    <cellStyle name="汇总 2 2 13" xfId="2157" xr:uid="{00000000-0005-0000-0000-0000F8090000}"/>
    <cellStyle name="汇总 2 2 13 2" xfId="2634" xr:uid="{00000000-0005-0000-0000-0000F9090000}"/>
    <cellStyle name="汇总 2 2 13 2 2" xfId="4224" xr:uid="{00000000-0005-0000-0000-0000FA090000}"/>
    <cellStyle name="汇总 2 2 13 3" xfId="3750" xr:uid="{00000000-0005-0000-0000-0000FB090000}"/>
    <cellStyle name="汇总 2 2 14" xfId="2630" xr:uid="{00000000-0005-0000-0000-0000FC090000}"/>
    <cellStyle name="汇总 2 2 14 2" xfId="4220" xr:uid="{00000000-0005-0000-0000-0000FD090000}"/>
    <cellStyle name="汇总 2 2 15" xfId="3746" xr:uid="{00000000-0005-0000-0000-0000FE090000}"/>
    <cellStyle name="汇总 2 2 2" xfId="2158" xr:uid="{00000000-0005-0000-0000-0000FF090000}"/>
    <cellStyle name="汇总 2 2 2 2" xfId="2635" xr:uid="{00000000-0005-0000-0000-0000000A0000}"/>
    <cellStyle name="汇总 2 2 2 2 2" xfId="4225" xr:uid="{00000000-0005-0000-0000-0000010A0000}"/>
    <cellStyle name="汇总 2 2 2 3" xfId="3751" xr:uid="{00000000-0005-0000-0000-0000020A0000}"/>
    <cellStyle name="汇总 2 2 3" xfId="2159" xr:uid="{00000000-0005-0000-0000-0000030A0000}"/>
    <cellStyle name="汇总 2 2 3 2" xfId="2636" xr:uid="{00000000-0005-0000-0000-0000040A0000}"/>
    <cellStyle name="汇总 2 2 3 2 2" xfId="4226" xr:uid="{00000000-0005-0000-0000-0000050A0000}"/>
    <cellStyle name="汇总 2 2 3 3" xfId="3752" xr:uid="{00000000-0005-0000-0000-0000060A0000}"/>
    <cellStyle name="汇总 2 2 4" xfId="2160" xr:uid="{00000000-0005-0000-0000-0000070A0000}"/>
    <cellStyle name="汇总 2 2 4 2" xfId="2637" xr:uid="{00000000-0005-0000-0000-0000080A0000}"/>
    <cellStyle name="汇总 2 2 4 2 2" xfId="4227" xr:uid="{00000000-0005-0000-0000-0000090A0000}"/>
    <cellStyle name="汇总 2 2 4 3" xfId="3753" xr:uid="{00000000-0005-0000-0000-00000A0A0000}"/>
    <cellStyle name="汇总 2 2 5" xfId="2161" xr:uid="{00000000-0005-0000-0000-00000B0A0000}"/>
    <cellStyle name="汇总 2 2 5 2" xfId="2638" xr:uid="{00000000-0005-0000-0000-00000C0A0000}"/>
    <cellStyle name="汇总 2 2 5 2 2" xfId="4228" xr:uid="{00000000-0005-0000-0000-00000D0A0000}"/>
    <cellStyle name="汇总 2 2 5 3" xfId="3754" xr:uid="{00000000-0005-0000-0000-00000E0A0000}"/>
    <cellStyle name="汇总 2 2 6" xfId="2162" xr:uid="{00000000-0005-0000-0000-00000F0A0000}"/>
    <cellStyle name="汇总 2 2 6 2" xfId="2639" xr:uid="{00000000-0005-0000-0000-0000100A0000}"/>
    <cellStyle name="汇总 2 2 6 2 2" xfId="4229" xr:uid="{00000000-0005-0000-0000-0000110A0000}"/>
    <cellStyle name="汇总 2 2 6 3" xfId="3755" xr:uid="{00000000-0005-0000-0000-0000120A0000}"/>
    <cellStyle name="汇总 2 2 7" xfId="2163" xr:uid="{00000000-0005-0000-0000-0000130A0000}"/>
    <cellStyle name="汇总 2 2 7 2" xfId="2640" xr:uid="{00000000-0005-0000-0000-0000140A0000}"/>
    <cellStyle name="汇总 2 2 7 2 2" xfId="4230" xr:uid="{00000000-0005-0000-0000-0000150A0000}"/>
    <cellStyle name="汇总 2 2 7 3" xfId="3756" xr:uid="{00000000-0005-0000-0000-0000160A0000}"/>
    <cellStyle name="汇总 2 2 8" xfId="2164" xr:uid="{00000000-0005-0000-0000-0000170A0000}"/>
    <cellStyle name="汇总 2 2 8 2" xfId="2641" xr:uid="{00000000-0005-0000-0000-0000180A0000}"/>
    <cellStyle name="汇总 2 2 8 2 2" xfId="4231" xr:uid="{00000000-0005-0000-0000-0000190A0000}"/>
    <cellStyle name="汇总 2 2 8 3" xfId="3757" xr:uid="{00000000-0005-0000-0000-00001A0A0000}"/>
    <cellStyle name="汇总 2 2 9" xfId="2165" xr:uid="{00000000-0005-0000-0000-00001B0A0000}"/>
    <cellStyle name="汇总 2 2 9 2" xfId="2642" xr:uid="{00000000-0005-0000-0000-00001C0A0000}"/>
    <cellStyle name="汇总 2 2 9 2 2" xfId="4232" xr:uid="{00000000-0005-0000-0000-00001D0A0000}"/>
    <cellStyle name="汇总 2 2 9 3" xfId="3758" xr:uid="{00000000-0005-0000-0000-00001E0A0000}"/>
    <cellStyle name="汇总 2 3" xfId="2166" xr:uid="{00000000-0005-0000-0000-00001F0A0000}"/>
    <cellStyle name="汇总 2 3 2" xfId="2643" xr:uid="{00000000-0005-0000-0000-0000200A0000}"/>
    <cellStyle name="汇总 2 3 2 2" xfId="4233" xr:uid="{00000000-0005-0000-0000-0000210A0000}"/>
    <cellStyle name="汇总 2 3 3" xfId="3759" xr:uid="{00000000-0005-0000-0000-0000220A0000}"/>
    <cellStyle name="汇总 2 4" xfId="2629" xr:uid="{00000000-0005-0000-0000-0000230A0000}"/>
    <cellStyle name="汇总 2 4 2" xfId="4219" xr:uid="{00000000-0005-0000-0000-0000240A0000}"/>
    <cellStyle name="汇总 2 5" xfId="3745" xr:uid="{00000000-0005-0000-0000-0000250A0000}"/>
    <cellStyle name="汇总 3" xfId="2167" xr:uid="{00000000-0005-0000-0000-0000260A0000}"/>
    <cellStyle name="汇总 3 2" xfId="2168" xr:uid="{00000000-0005-0000-0000-0000270A0000}"/>
    <cellStyle name="汇总 3 2 10" xfId="2169" xr:uid="{00000000-0005-0000-0000-0000280A0000}"/>
    <cellStyle name="汇总 3 2 10 2" xfId="2646" xr:uid="{00000000-0005-0000-0000-0000290A0000}"/>
    <cellStyle name="汇总 3 2 10 2 2" xfId="4236" xr:uid="{00000000-0005-0000-0000-00002A0A0000}"/>
    <cellStyle name="汇总 3 2 10 3" xfId="3762" xr:uid="{00000000-0005-0000-0000-00002B0A0000}"/>
    <cellStyle name="汇总 3 2 11" xfId="2170" xr:uid="{00000000-0005-0000-0000-00002C0A0000}"/>
    <cellStyle name="汇总 3 2 11 2" xfId="2647" xr:uid="{00000000-0005-0000-0000-00002D0A0000}"/>
    <cellStyle name="汇总 3 2 11 2 2" xfId="4237" xr:uid="{00000000-0005-0000-0000-00002E0A0000}"/>
    <cellStyle name="汇总 3 2 11 3" xfId="3763" xr:uid="{00000000-0005-0000-0000-00002F0A0000}"/>
    <cellStyle name="汇总 3 2 12" xfId="2171" xr:uid="{00000000-0005-0000-0000-0000300A0000}"/>
    <cellStyle name="汇总 3 2 12 2" xfId="2648" xr:uid="{00000000-0005-0000-0000-0000310A0000}"/>
    <cellStyle name="汇总 3 2 12 2 2" xfId="4238" xr:uid="{00000000-0005-0000-0000-0000320A0000}"/>
    <cellStyle name="汇总 3 2 12 3" xfId="3764" xr:uid="{00000000-0005-0000-0000-0000330A0000}"/>
    <cellStyle name="汇总 3 2 13" xfId="2172" xr:uid="{00000000-0005-0000-0000-0000340A0000}"/>
    <cellStyle name="汇总 3 2 13 2" xfId="2649" xr:uid="{00000000-0005-0000-0000-0000350A0000}"/>
    <cellStyle name="汇总 3 2 13 2 2" xfId="4239" xr:uid="{00000000-0005-0000-0000-0000360A0000}"/>
    <cellStyle name="汇总 3 2 13 3" xfId="3765" xr:uid="{00000000-0005-0000-0000-0000370A0000}"/>
    <cellStyle name="汇总 3 2 14" xfId="2645" xr:uid="{00000000-0005-0000-0000-0000380A0000}"/>
    <cellStyle name="汇总 3 2 14 2" xfId="4235" xr:uid="{00000000-0005-0000-0000-0000390A0000}"/>
    <cellStyle name="汇总 3 2 15" xfId="3761" xr:uid="{00000000-0005-0000-0000-00003A0A0000}"/>
    <cellStyle name="汇总 3 2 2" xfId="2173" xr:uid="{00000000-0005-0000-0000-00003B0A0000}"/>
    <cellStyle name="汇总 3 2 2 2" xfId="2650" xr:uid="{00000000-0005-0000-0000-00003C0A0000}"/>
    <cellStyle name="汇总 3 2 2 2 2" xfId="4240" xr:uid="{00000000-0005-0000-0000-00003D0A0000}"/>
    <cellStyle name="汇总 3 2 2 3" xfId="3766" xr:uid="{00000000-0005-0000-0000-00003E0A0000}"/>
    <cellStyle name="汇总 3 2 3" xfId="2174" xr:uid="{00000000-0005-0000-0000-00003F0A0000}"/>
    <cellStyle name="汇总 3 2 3 2" xfId="2651" xr:uid="{00000000-0005-0000-0000-0000400A0000}"/>
    <cellStyle name="汇总 3 2 3 2 2" xfId="4241" xr:uid="{00000000-0005-0000-0000-0000410A0000}"/>
    <cellStyle name="汇总 3 2 3 3" xfId="3767" xr:uid="{00000000-0005-0000-0000-0000420A0000}"/>
    <cellStyle name="汇总 3 2 4" xfId="2175" xr:uid="{00000000-0005-0000-0000-0000430A0000}"/>
    <cellStyle name="汇总 3 2 4 2" xfId="2652" xr:uid="{00000000-0005-0000-0000-0000440A0000}"/>
    <cellStyle name="汇总 3 2 4 2 2" xfId="4242" xr:uid="{00000000-0005-0000-0000-0000450A0000}"/>
    <cellStyle name="汇总 3 2 4 3" xfId="3768" xr:uid="{00000000-0005-0000-0000-0000460A0000}"/>
    <cellStyle name="汇总 3 2 5" xfId="2176" xr:uid="{00000000-0005-0000-0000-0000470A0000}"/>
    <cellStyle name="汇总 3 2 5 2" xfId="2653" xr:uid="{00000000-0005-0000-0000-0000480A0000}"/>
    <cellStyle name="汇总 3 2 5 2 2" xfId="4243" xr:uid="{00000000-0005-0000-0000-0000490A0000}"/>
    <cellStyle name="汇总 3 2 5 3" xfId="3769" xr:uid="{00000000-0005-0000-0000-00004A0A0000}"/>
    <cellStyle name="汇总 3 2 6" xfId="2177" xr:uid="{00000000-0005-0000-0000-00004B0A0000}"/>
    <cellStyle name="汇总 3 2 6 2" xfId="2654" xr:uid="{00000000-0005-0000-0000-00004C0A0000}"/>
    <cellStyle name="汇总 3 2 6 2 2" xfId="4244" xr:uid="{00000000-0005-0000-0000-00004D0A0000}"/>
    <cellStyle name="汇总 3 2 6 3" xfId="3770" xr:uid="{00000000-0005-0000-0000-00004E0A0000}"/>
    <cellStyle name="汇总 3 2 7" xfId="2178" xr:uid="{00000000-0005-0000-0000-00004F0A0000}"/>
    <cellStyle name="汇总 3 2 7 2" xfId="2655" xr:uid="{00000000-0005-0000-0000-0000500A0000}"/>
    <cellStyle name="汇总 3 2 7 2 2" xfId="4245" xr:uid="{00000000-0005-0000-0000-0000510A0000}"/>
    <cellStyle name="汇总 3 2 7 3" xfId="3771" xr:uid="{00000000-0005-0000-0000-0000520A0000}"/>
    <cellStyle name="汇总 3 2 8" xfId="2179" xr:uid="{00000000-0005-0000-0000-0000530A0000}"/>
    <cellStyle name="汇总 3 2 8 2" xfId="2656" xr:uid="{00000000-0005-0000-0000-0000540A0000}"/>
    <cellStyle name="汇总 3 2 8 2 2" xfId="4246" xr:uid="{00000000-0005-0000-0000-0000550A0000}"/>
    <cellStyle name="汇总 3 2 8 3" xfId="3772" xr:uid="{00000000-0005-0000-0000-0000560A0000}"/>
    <cellStyle name="汇总 3 2 9" xfId="2180" xr:uid="{00000000-0005-0000-0000-0000570A0000}"/>
    <cellStyle name="汇总 3 2 9 2" xfId="2657" xr:uid="{00000000-0005-0000-0000-0000580A0000}"/>
    <cellStyle name="汇总 3 2 9 2 2" xfId="4247" xr:uid="{00000000-0005-0000-0000-0000590A0000}"/>
    <cellStyle name="汇总 3 2 9 3" xfId="3773" xr:uid="{00000000-0005-0000-0000-00005A0A0000}"/>
    <cellStyle name="汇总 3 3" xfId="2181" xr:uid="{00000000-0005-0000-0000-00005B0A0000}"/>
    <cellStyle name="汇总 3 3 2" xfId="2658" xr:uid="{00000000-0005-0000-0000-00005C0A0000}"/>
    <cellStyle name="汇总 3 3 2 2" xfId="4248" xr:uid="{00000000-0005-0000-0000-00005D0A0000}"/>
    <cellStyle name="汇总 3 3 3" xfId="3774" xr:uid="{00000000-0005-0000-0000-00005E0A0000}"/>
    <cellStyle name="汇总 3 4" xfId="2644" xr:uid="{00000000-0005-0000-0000-00005F0A0000}"/>
    <cellStyle name="汇总 3 4 2" xfId="4234" xr:uid="{00000000-0005-0000-0000-0000600A0000}"/>
    <cellStyle name="汇总 3 5" xfId="3760" xr:uid="{00000000-0005-0000-0000-0000610A0000}"/>
    <cellStyle name="汇总 4" xfId="2182" xr:uid="{00000000-0005-0000-0000-0000620A0000}"/>
    <cellStyle name="汇总 4 10" xfId="2183" xr:uid="{00000000-0005-0000-0000-0000630A0000}"/>
    <cellStyle name="汇总 4 10 2" xfId="2660" xr:uid="{00000000-0005-0000-0000-0000640A0000}"/>
    <cellStyle name="汇总 4 10 2 2" xfId="4250" xr:uid="{00000000-0005-0000-0000-0000650A0000}"/>
    <cellStyle name="汇总 4 10 3" xfId="3776" xr:uid="{00000000-0005-0000-0000-0000660A0000}"/>
    <cellStyle name="汇总 4 11" xfId="2184" xr:uid="{00000000-0005-0000-0000-0000670A0000}"/>
    <cellStyle name="汇总 4 11 2" xfId="2661" xr:uid="{00000000-0005-0000-0000-0000680A0000}"/>
    <cellStyle name="汇总 4 11 2 2" xfId="4251" xr:uid="{00000000-0005-0000-0000-0000690A0000}"/>
    <cellStyle name="汇总 4 11 3" xfId="3777" xr:uid="{00000000-0005-0000-0000-00006A0A0000}"/>
    <cellStyle name="汇总 4 12" xfId="2185" xr:uid="{00000000-0005-0000-0000-00006B0A0000}"/>
    <cellStyle name="汇总 4 12 2" xfId="2662" xr:uid="{00000000-0005-0000-0000-00006C0A0000}"/>
    <cellStyle name="汇总 4 12 2 2" xfId="4252" xr:uid="{00000000-0005-0000-0000-00006D0A0000}"/>
    <cellStyle name="汇总 4 12 3" xfId="3778" xr:uid="{00000000-0005-0000-0000-00006E0A0000}"/>
    <cellStyle name="汇总 4 13" xfId="2186" xr:uid="{00000000-0005-0000-0000-00006F0A0000}"/>
    <cellStyle name="汇总 4 13 2" xfId="2663" xr:uid="{00000000-0005-0000-0000-0000700A0000}"/>
    <cellStyle name="汇总 4 13 2 2" xfId="4253" xr:uid="{00000000-0005-0000-0000-0000710A0000}"/>
    <cellStyle name="汇总 4 13 3" xfId="3779" xr:uid="{00000000-0005-0000-0000-0000720A0000}"/>
    <cellStyle name="汇总 4 14" xfId="2659" xr:uid="{00000000-0005-0000-0000-0000730A0000}"/>
    <cellStyle name="汇总 4 14 2" xfId="4249" xr:uid="{00000000-0005-0000-0000-0000740A0000}"/>
    <cellStyle name="汇总 4 15" xfId="3775" xr:uid="{00000000-0005-0000-0000-0000750A0000}"/>
    <cellStyle name="汇总 4 2" xfId="2187" xr:uid="{00000000-0005-0000-0000-0000760A0000}"/>
    <cellStyle name="汇总 4 2 2" xfId="2664" xr:uid="{00000000-0005-0000-0000-0000770A0000}"/>
    <cellStyle name="汇总 4 2 2 2" xfId="4254" xr:uid="{00000000-0005-0000-0000-0000780A0000}"/>
    <cellStyle name="汇总 4 2 3" xfId="3780" xr:uid="{00000000-0005-0000-0000-0000790A0000}"/>
    <cellStyle name="汇总 4 3" xfId="2188" xr:uid="{00000000-0005-0000-0000-00007A0A0000}"/>
    <cellStyle name="汇总 4 3 2" xfId="2665" xr:uid="{00000000-0005-0000-0000-00007B0A0000}"/>
    <cellStyle name="汇总 4 3 2 2" xfId="4255" xr:uid="{00000000-0005-0000-0000-00007C0A0000}"/>
    <cellStyle name="汇总 4 3 3" xfId="3781" xr:uid="{00000000-0005-0000-0000-00007D0A0000}"/>
    <cellStyle name="汇总 4 4" xfId="2189" xr:uid="{00000000-0005-0000-0000-00007E0A0000}"/>
    <cellStyle name="汇总 4 4 2" xfId="2666" xr:uid="{00000000-0005-0000-0000-00007F0A0000}"/>
    <cellStyle name="汇总 4 4 2 2" xfId="4256" xr:uid="{00000000-0005-0000-0000-0000800A0000}"/>
    <cellStyle name="汇总 4 4 3" xfId="3782" xr:uid="{00000000-0005-0000-0000-0000810A0000}"/>
    <cellStyle name="汇总 4 5" xfId="2190" xr:uid="{00000000-0005-0000-0000-0000820A0000}"/>
    <cellStyle name="汇总 4 5 2" xfId="2667" xr:uid="{00000000-0005-0000-0000-0000830A0000}"/>
    <cellStyle name="汇总 4 5 2 2" xfId="4257" xr:uid="{00000000-0005-0000-0000-0000840A0000}"/>
    <cellStyle name="汇总 4 5 3" xfId="3783" xr:uid="{00000000-0005-0000-0000-0000850A0000}"/>
    <cellStyle name="汇总 4 6" xfId="2191" xr:uid="{00000000-0005-0000-0000-0000860A0000}"/>
    <cellStyle name="汇总 4 6 2" xfId="2668" xr:uid="{00000000-0005-0000-0000-0000870A0000}"/>
    <cellStyle name="汇总 4 6 2 2" xfId="4258" xr:uid="{00000000-0005-0000-0000-0000880A0000}"/>
    <cellStyle name="汇总 4 6 3" xfId="3784" xr:uid="{00000000-0005-0000-0000-0000890A0000}"/>
    <cellStyle name="汇总 4 7" xfId="2192" xr:uid="{00000000-0005-0000-0000-00008A0A0000}"/>
    <cellStyle name="汇总 4 7 2" xfId="2669" xr:uid="{00000000-0005-0000-0000-00008B0A0000}"/>
    <cellStyle name="汇总 4 7 2 2" xfId="4259" xr:uid="{00000000-0005-0000-0000-00008C0A0000}"/>
    <cellStyle name="汇总 4 7 3" xfId="3785" xr:uid="{00000000-0005-0000-0000-00008D0A0000}"/>
    <cellStyle name="汇总 4 8" xfId="2193" xr:uid="{00000000-0005-0000-0000-00008E0A0000}"/>
    <cellStyle name="汇总 4 8 2" xfId="2670" xr:uid="{00000000-0005-0000-0000-00008F0A0000}"/>
    <cellStyle name="汇总 4 8 2 2" xfId="4260" xr:uid="{00000000-0005-0000-0000-0000900A0000}"/>
    <cellStyle name="汇总 4 8 3" xfId="3786" xr:uid="{00000000-0005-0000-0000-0000910A0000}"/>
    <cellStyle name="汇总 4 9" xfId="2194" xr:uid="{00000000-0005-0000-0000-0000920A0000}"/>
    <cellStyle name="汇总 4 9 2" xfId="2671" xr:uid="{00000000-0005-0000-0000-0000930A0000}"/>
    <cellStyle name="汇总 4 9 2 2" xfId="4261" xr:uid="{00000000-0005-0000-0000-0000940A0000}"/>
    <cellStyle name="汇总 4 9 3" xfId="3787" xr:uid="{00000000-0005-0000-0000-0000950A0000}"/>
    <cellStyle name="汇总 5" xfId="2195" xr:uid="{00000000-0005-0000-0000-0000960A0000}"/>
    <cellStyle name="汇总 5 2" xfId="2672" xr:uid="{00000000-0005-0000-0000-0000970A0000}"/>
    <cellStyle name="汇总 5 2 2" xfId="4262" xr:uid="{00000000-0005-0000-0000-0000980A0000}"/>
    <cellStyle name="汇总 5 3" xfId="3788" xr:uid="{00000000-0005-0000-0000-0000990A0000}"/>
    <cellStyle name="汇总 6" xfId="2628" xr:uid="{00000000-0005-0000-0000-00009A0A0000}"/>
    <cellStyle name="汇总 6 2" xfId="4218" xr:uid="{00000000-0005-0000-0000-00009B0A0000}"/>
    <cellStyle name="汇总 7" xfId="3744" xr:uid="{00000000-0005-0000-0000-00009C0A0000}"/>
    <cellStyle name="合計 2" xfId="1350" xr:uid="{00000000-0005-0000-0000-00009D0A0000}"/>
    <cellStyle name="合計 2 2" xfId="1351" xr:uid="{00000000-0005-0000-0000-00009E0A0000}"/>
    <cellStyle name="合計 2 2 10" xfId="1352" xr:uid="{00000000-0005-0000-0000-00009F0A0000}"/>
    <cellStyle name="合計 2 2 10 2" xfId="2448" xr:uid="{00000000-0005-0000-0000-0000A00A0000}"/>
    <cellStyle name="合計 2 2 10 2 2" xfId="4038" xr:uid="{00000000-0005-0000-0000-0000A10A0000}"/>
    <cellStyle name="合計 2 2 10 3" xfId="3375" xr:uid="{00000000-0005-0000-0000-0000A20A0000}"/>
    <cellStyle name="合計 2 2 11" xfId="1353" xr:uid="{00000000-0005-0000-0000-0000A30A0000}"/>
    <cellStyle name="合計 2 2 11 2" xfId="2449" xr:uid="{00000000-0005-0000-0000-0000A40A0000}"/>
    <cellStyle name="合計 2 2 11 2 2" xfId="4039" xr:uid="{00000000-0005-0000-0000-0000A50A0000}"/>
    <cellStyle name="合計 2 2 11 3" xfId="3376" xr:uid="{00000000-0005-0000-0000-0000A60A0000}"/>
    <cellStyle name="合計 2 2 12" xfId="1354" xr:uid="{00000000-0005-0000-0000-0000A70A0000}"/>
    <cellStyle name="合計 2 2 12 2" xfId="2450" xr:uid="{00000000-0005-0000-0000-0000A80A0000}"/>
    <cellStyle name="合計 2 2 12 2 2" xfId="4040" xr:uid="{00000000-0005-0000-0000-0000A90A0000}"/>
    <cellStyle name="合計 2 2 12 3" xfId="3377" xr:uid="{00000000-0005-0000-0000-0000AA0A0000}"/>
    <cellStyle name="合計 2 2 13" xfId="1355" xr:uid="{00000000-0005-0000-0000-0000AB0A0000}"/>
    <cellStyle name="合計 2 2 13 2" xfId="2451" xr:uid="{00000000-0005-0000-0000-0000AC0A0000}"/>
    <cellStyle name="合計 2 2 13 2 2" xfId="4041" xr:uid="{00000000-0005-0000-0000-0000AD0A0000}"/>
    <cellStyle name="合計 2 2 13 3" xfId="3378" xr:uid="{00000000-0005-0000-0000-0000AE0A0000}"/>
    <cellStyle name="合計 2 2 14" xfId="2447" xr:uid="{00000000-0005-0000-0000-0000AF0A0000}"/>
    <cellStyle name="合計 2 2 14 2" xfId="4037" xr:uid="{00000000-0005-0000-0000-0000B00A0000}"/>
    <cellStyle name="合計 2 2 15" xfId="3374" xr:uid="{00000000-0005-0000-0000-0000B10A0000}"/>
    <cellStyle name="合計 2 2 2" xfId="1356" xr:uid="{00000000-0005-0000-0000-0000B20A0000}"/>
    <cellStyle name="合計 2 2 2 2" xfId="2452" xr:uid="{00000000-0005-0000-0000-0000B30A0000}"/>
    <cellStyle name="合計 2 2 2 2 2" xfId="4042" xr:uid="{00000000-0005-0000-0000-0000B40A0000}"/>
    <cellStyle name="合計 2 2 2 3" xfId="3379" xr:uid="{00000000-0005-0000-0000-0000B50A0000}"/>
    <cellStyle name="合計 2 2 3" xfId="1357" xr:uid="{00000000-0005-0000-0000-0000B60A0000}"/>
    <cellStyle name="合計 2 2 3 2" xfId="2453" xr:uid="{00000000-0005-0000-0000-0000B70A0000}"/>
    <cellStyle name="合計 2 2 3 2 2" xfId="4043" xr:uid="{00000000-0005-0000-0000-0000B80A0000}"/>
    <cellStyle name="合計 2 2 3 3" xfId="3380" xr:uid="{00000000-0005-0000-0000-0000B90A0000}"/>
    <cellStyle name="合計 2 2 4" xfId="1358" xr:uid="{00000000-0005-0000-0000-0000BA0A0000}"/>
    <cellStyle name="合計 2 2 4 2" xfId="2454" xr:uid="{00000000-0005-0000-0000-0000BB0A0000}"/>
    <cellStyle name="合計 2 2 4 2 2" xfId="4044" xr:uid="{00000000-0005-0000-0000-0000BC0A0000}"/>
    <cellStyle name="合計 2 2 4 3" xfId="3381" xr:uid="{00000000-0005-0000-0000-0000BD0A0000}"/>
    <cellStyle name="合計 2 2 5" xfId="1359" xr:uid="{00000000-0005-0000-0000-0000BE0A0000}"/>
    <cellStyle name="合計 2 2 5 2" xfId="2455" xr:uid="{00000000-0005-0000-0000-0000BF0A0000}"/>
    <cellStyle name="合計 2 2 5 2 2" xfId="4045" xr:uid="{00000000-0005-0000-0000-0000C00A0000}"/>
    <cellStyle name="合計 2 2 5 3" xfId="3382" xr:uid="{00000000-0005-0000-0000-0000C10A0000}"/>
    <cellStyle name="合計 2 2 6" xfId="1360" xr:uid="{00000000-0005-0000-0000-0000C20A0000}"/>
    <cellStyle name="合計 2 2 6 2" xfId="2456" xr:uid="{00000000-0005-0000-0000-0000C30A0000}"/>
    <cellStyle name="合計 2 2 6 2 2" xfId="4046" xr:uid="{00000000-0005-0000-0000-0000C40A0000}"/>
    <cellStyle name="合計 2 2 6 3" xfId="3383" xr:uid="{00000000-0005-0000-0000-0000C50A0000}"/>
    <cellStyle name="合計 2 2 7" xfId="1361" xr:uid="{00000000-0005-0000-0000-0000C60A0000}"/>
    <cellStyle name="合計 2 2 7 2" xfId="2457" xr:uid="{00000000-0005-0000-0000-0000C70A0000}"/>
    <cellStyle name="合計 2 2 7 2 2" xfId="4047" xr:uid="{00000000-0005-0000-0000-0000C80A0000}"/>
    <cellStyle name="合計 2 2 7 3" xfId="3384" xr:uid="{00000000-0005-0000-0000-0000C90A0000}"/>
    <cellStyle name="合計 2 2 8" xfId="1362" xr:uid="{00000000-0005-0000-0000-0000CA0A0000}"/>
    <cellStyle name="合計 2 2 8 2" xfId="2458" xr:uid="{00000000-0005-0000-0000-0000CB0A0000}"/>
    <cellStyle name="合計 2 2 8 2 2" xfId="4048" xr:uid="{00000000-0005-0000-0000-0000CC0A0000}"/>
    <cellStyle name="合計 2 2 8 3" xfId="3385" xr:uid="{00000000-0005-0000-0000-0000CD0A0000}"/>
    <cellStyle name="合計 2 2 9" xfId="1363" xr:uid="{00000000-0005-0000-0000-0000CE0A0000}"/>
    <cellStyle name="合計 2 2 9 2" xfId="2459" xr:uid="{00000000-0005-0000-0000-0000CF0A0000}"/>
    <cellStyle name="合計 2 2 9 2 2" xfId="4049" xr:uid="{00000000-0005-0000-0000-0000D00A0000}"/>
    <cellStyle name="合計 2 2 9 3" xfId="3386" xr:uid="{00000000-0005-0000-0000-0000D10A0000}"/>
    <cellStyle name="合計 2 3" xfId="1364" xr:uid="{00000000-0005-0000-0000-0000D20A0000}"/>
    <cellStyle name="合計 2 3 2" xfId="2460" xr:uid="{00000000-0005-0000-0000-0000D30A0000}"/>
    <cellStyle name="合計 2 3 2 2" xfId="4050" xr:uid="{00000000-0005-0000-0000-0000D40A0000}"/>
    <cellStyle name="合計 2 3 3" xfId="3387" xr:uid="{00000000-0005-0000-0000-0000D50A0000}"/>
    <cellStyle name="合計 2 4" xfId="1365" xr:uid="{00000000-0005-0000-0000-0000D60A0000}"/>
    <cellStyle name="合計 2 4 2" xfId="2461" xr:uid="{00000000-0005-0000-0000-0000D70A0000}"/>
    <cellStyle name="合計 2 4 2 2" xfId="4051" xr:uid="{00000000-0005-0000-0000-0000D80A0000}"/>
    <cellStyle name="合計 2 4 3" xfId="3388" xr:uid="{00000000-0005-0000-0000-0000D90A0000}"/>
    <cellStyle name="合計 2 5" xfId="2446" xr:uid="{00000000-0005-0000-0000-0000DA0A0000}"/>
    <cellStyle name="合計 2 5 2" xfId="4036" xr:uid="{00000000-0005-0000-0000-0000DB0A0000}"/>
    <cellStyle name="合計 2 6" xfId="3373" xr:uid="{00000000-0005-0000-0000-0000DC0A0000}"/>
    <cellStyle name="合計 3" xfId="1366" xr:uid="{00000000-0005-0000-0000-0000DD0A0000}"/>
    <cellStyle name="合計 3 2" xfId="1367" xr:uid="{00000000-0005-0000-0000-0000DE0A0000}"/>
    <cellStyle name="合計 3 2 10" xfId="1368" xr:uid="{00000000-0005-0000-0000-0000DF0A0000}"/>
    <cellStyle name="合計 3 2 10 2" xfId="2464" xr:uid="{00000000-0005-0000-0000-0000E00A0000}"/>
    <cellStyle name="合計 3 2 10 2 2" xfId="4054" xr:uid="{00000000-0005-0000-0000-0000E10A0000}"/>
    <cellStyle name="合計 3 2 10 3" xfId="3391" xr:uid="{00000000-0005-0000-0000-0000E20A0000}"/>
    <cellStyle name="合計 3 2 11" xfId="1369" xr:uid="{00000000-0005-0000-0000-0000E30A0000}"/>
    <cellStyle name="合計 3 2 11 2" xfId="2465" xr:uid="{00000000-0005-0000-0000-0000E40A0000}"/>
    <cellStyle name="合計 3 2 11 2 2" xfId="4055" xr:uid="{00000000-0005-0000-0000-0000E50A0000}"/>
    <cellStyle name="合計 3 2 11 3" xfId="3392" xr:uid="{00000000-0005-0000-0000-0000E60A0000}"/>
    <cellStyle name="合計 3 2 12" xfId="1370" xr:uid="{00000000-0005-0000-0000-0000E70A0000}"/>
    <cellStyle name="合計 3 2 12 2" xfId="2466" xr:uid="{00000000-0005-0000-0000-0000E80A0000}"/>
    <cellStyle name="合計 3 2 12 2 2" xfId="4056" xr:uid="{00000000-0005-0000-0000-0000E90A0000}"/>
    <cellStyle name="合計 3 2 12 3" xfId="3393" xr:uid="{00000000-0005-0000-0000-0000EA0A0000}"/>
    <cellStyle name="合計 3 2 13" xfId="1371" xr:uid="{00000000-0005-0000-0000-0000EB0A0000}"/>
    <cellStyle name="合計 3 2 13 2" xfId="2467" xr:uid="{00000000-0005-0000-0000-0000EC0A0000}"/>
    <cellStyle name="合計 3 2 13 2 2" xfId="4057" xr:uid="{00000000-0005-0000-0000-0000ED0A0000}"/>
    <cellStyle name="合計 3 2 13 3" xfId="3394" xr:uid="{00000000-0005-0000-0000-0000EE0A0000}"/>
    <cellStyle name="合計 3 2 14" xfId="2463" xr:uid="{00000000-0005-0000-0000-0000EF0A0000}"/>
    <cellStyle name="合計 3 2 14 2" xfId="4053" xr:uid="{00000000-0005-0000-0000-0000F00A0000}"/>
    <cellStyle name="合計 3 2 15" xfId="3390" xr:uid="{00000000-0005-0000-0000-0000F10A0000}"/>
    <cellStyle name="合計 3 2 2" xfId="1372" xr:uid="{00000000-0005-0000-0000-0000F20A0000}"/>
    <cellStyle name="合計 3 2 2 2" xfId="2468" xr:uid="{00000000-0005-0000-0000-0000F30A0000}"/>
    <cellStyle name="合計 3 2 2 2 2" xfId="4058" xr:uid="{00000000-0005-0000-0000-0000F40A0000}"/>
    <cellStyle name="合計 3 2 2 3" xfId="3395" xr:uid="{00000000-0005-0000-0000-0000F50A0000}"/>
    <cellStyle name="合計 3 2 3" xfId="1373" xr:uid="{00000000-0005-0000-0000-0000F60A0000}"/>
    <cellStyle name="合計 3 2 3 2" xfId="2469" xr:uid="{00000000-0005-0000-0000-0000F70A0000}"/>
    <cellStyle name="合計 3 2 3 2 2" xfId="4059" xr:uid="{00000000-0005-0000-0000-0000F80A0000}"/>
    <cellStyle name="合計 3 2 3 3" xfId="3396" xr:uid="{00000000-0005-0000-0000-0000F90A0000}"/>
    <cellStyle name="合計 3 2 4" xfId="1374" xr:uid="{00000000-0005-0000-0000-0000FA0A0000}"/>
    <cellStyle name="合計 3 2 4 2" xfId="2470" xr:uid="{00000000-0005-0000-0000-0000FB0A0000}"/>
    <cellStyle name="合計 3 2 4 2 2" xfId="4060" xr:uid="{00000000-0005-0000-0000-0000FC0A0000}"/>
    <cellStyle name="合計 3 2 4 3" xfId="3397" xr:uid="{00000000-0005-0000-0000-0000FD0A0000}"/>
    <cellStyle name="合計 3 2 5" xfId="1375" xr:uid="{00000000-0005-0000-0000-0000FE0A0000}"/>
    <cellStyle name="合計 3 2 5 2" xfId="2471" xr:uid="{00000000-0005-0000-0000-0000FF0A0000}"/>
    <cellStyle name="合計 3 2 5 2 2" xfId="4061" xr:uid="{00000000-0005-0000-0000-0000000B0000}"/>
    <cellStyle name="合計 3 2 5 3" xfId="3398" xr:uid="{00000000-0005-0000-0000-0000010B0000}"/>
    <cellStyle name="合計 3 2 6" xfId="1376" xr:uid="{00000000-0005-0000-0000-0000020B0000}"/>
    <cellStyle name="合計 3 2 6 2" xfId="2472" xr:uid="{00000000-0005-0000-0000-0000030B0000}"/>
    <cellStyle name="合計 3 2 6 2 2" xfId="4062" xr:uid="{00000000-0005-0000-0000-0000040B0000}"/>
    <cellStyle name="合計 3 2 6 3" xfId="3399" xr:uid="{00000000-0005-0000-0000-0000050B0000}"/>
    <cellStyle name="合計 3 2 7" xfId="1377" xr:uid="{00000000-0005-0000-0000-0000060B0000}"/>
    <cellStyle name="合計 3 2 7 2" xfId="2473" xr:uid="{00000000-0005-0000-0000-0000070B0000}"/>
    <cellStyle name="合計 3 2 7 2 2" xfId="4063" xr:uid="{00000000-0005-0000-0000-0000080B0000}"/>
    <cellStyle name="合計 3 2 7 3" xfId="3400" xr:uid="{00000000-0005-0000-0000-0000090B0000}"/>
    <cellStyle name="合計 3 2 8" xfId="1378" xr:uid="{00000000-0005-0000-0000-00000A0B0000}"/>
    <cellStyle name="合計 3 2 8 2" xfId="2474" xr:uid="{00000000-0005-0000-0000-00000B0B0000}"/>
    <cellStyle name="合計 3 2 8 2 2" xfId="4064" xr:uid="{00000000-0005-0000-0000-00000C0B0000}"/>
    <cellStyle name="合計 3 2 8 3" xfId="3401" xr:uid="{00000000-0005-0000-0000-00000D0B0000}"/>
    <cellStyle name="合計 3 2 9" xfId="1379" xr:uid="{00000000-0005-0000-0000-00000E0B0000}"/>
    <cellStyle name="合計 3 2 9 2" xfId="2475" xr:uid="{00000000-0005-0000-0000-00000F0B0000}"/>
    <cellStyle name="合計 3 2 9 2 2" xfId="4065" xr:uid="{00000000-0005-0000-0000-0000100B0000}"/>
    <cellStyle name="合計 3 2 9 3" xfId="3402" xr:uid="{00000000-0005-0000-0000-0000110B0000}"/>
    <cellStyle name="合計 3 3" xfId="1380" xr:uid="{00000000-0005-0000-0000-0000120B0000}"/>
    <cellStyle name="合計 3 3 2" xfId="2476" xr:uid="{00000000-0005-0000-0000-0000130B0000}"/>
    <cellStyle name="合計 3 3 2 2" xfId="4066" xr:uid="{00000000-0005-0000-0000-0000140B0000}"/>
    <cellStyle name="合計 3 3 3" xfId="3403" xr:uid="{00000000-0005-0000-0000-0000150B0000}"/>
    <cellStyle name="合計 3 4" xfId="1381" xr:uid="{00000000-0005-0000-0000-0000160B0000}"/>
    <cellStyle name="合計 3 4 2" xfId="2477" xr:uid="{00000000-0005-0000-0000-0000170B0000}"/>
    <cellStyle name="合計 3 4 2 2" xfId="4067" xr:uid="{00000000-0005-0000-0000-0000180B0000}"/>
    <cellStyle name="合計 3 4 3" xfId="3404" xr:uid="{00000000-0005-0000-0000-0000190B0000}"/>
    <cellStyle name="合計 3 5" xfId="2462" xr:uid="{00000000-0005-0000-0000-00001A0B0000}"/>
    <cellStyle name="合計 3 5 2" xfId="4052" xr:uid="{00000000-0005-0000-0000-00001B0B0000}"/>
    <cellStyle name="合計 3 6" xfId="3389" xr:uid="{00000000-0005-0000-0000-00001C0B0000}"/>
    <cellStyle name="好 2" xfId="1382" xr:uid="{00000000-0005-0000-0000-00001D0B0000}"/>
    <cellStyle name="好 3" xfId="1383" xr:uid="{00000000-0005-0000-0000-00001E0B0000}"/>
    <cellStyle name="好_1、Rebar-Columns(Tower D)(R1)-5.20" xfId="1384" xr:uid="{00000000-0005-0000-0000-00001F0B0000}"/>
    <cellStyle name="好_1、Rebar-Columns(Tower D)(R1)-5.20 2" xfId="1385" xr:uid="{00000000-0005-0000-0000-0000200B0000}"/>
    <cellStyle name="好_1、Rebar-Columns(Tower D)(R1)-5.20 3" xfId="1386" xr:uid="{00000000-0005-0000-0000-0000210B0000}"/>
    <cellStyle name="好_1、Rebar-Columns(Tower D)(R1)-5.20_KIL11200-FTS-MC-IP17 (Final)" xfId="1387" xr:uid="{00000000-0005-0000-0000-0000220B0000}"/>
    <cellStyle name="好_1、Rebar-Columns(Tower D)(R1)-5.20_KIL11200-FTS-MC-IP17 (Final) 2" xfId="1388" xr:uid="{00000000-0005-0000-0000-0000230B0000}"/>
    <cellStyle name="好_1、Rebar-Columns(Tower D)(R1)-5.20_KIL11200-FTS-MC-IP17 (Final) 3" xfId="1389" xr:uid="{00000000-0005-0000-0000-0000240B0000}"/>
    <cellStyle name="好_117-Fire shutter hanger wall " xfId="1390" xr:uid="{00000000-0005-0000-0000-0000250B0000}"/>
    <cellStyle name="好_130116-Remeasurement Summary" xfId="1391" xr:uid="{00000000-0005-0000-0000-0000260B0000}"/>
    <cellStyle name="好_130116-Remeasurement Summary 2" xfId="1392" xr:uid="{00000000-0005-0000-0000-0000270B0000}"/>
    <cellStyle name="好_130205-Remeasurement Summary" xfId="1393" xr:uid="{00000000-0005-0000-0000-0000280B0000}"/>
    <cellStyle name="好_130205-Remeasurement Summary 2" xfId="1394" xr:uid="{00000000-0005-0000-0000-0000290B0000}"/>
    <cellStyle name="好_130411-FTS-Measurement of External wall tile" xfId="1395" xr:uid="{00000000-0005-0000-0000-00002A0B0000}"/>
    <cellStyle name="好_130411-FTS-Measurement of External wall tile 2" xfId="1396" xr:uid="{00000000-0005-0000-0000-00002B0B0000}"/>
    <cellStyle name="好_130427-Adj.Prov.Qty of Structural(WTP)" xfId="1397" xr:uid="{00000000-0005-0000-0000-00002C0B0000}"/>
    <cellStyle name="好_130427-Adj.Prov.Qty of Structural(WTP) 2" xfId="1398" xr:uid="{00000000-0005-0000-0000-00002D0B0000}"/>
    <cellStyle name="好_130430-Adj.Prov.Qty of Structural(WTP)" xfId="1399" xr:uid="{00000000-0005-0000-0000-00002E0B0000}"/>
    <cellStyle name="好_130430-Adj.Prov.Qty of Structural(WTP) 2" xfId="1400" xr:uid="{00000000-0005-0000-0000-00002F0B0000}"/>
    <cellStyle name="好_130502-Adj.Prov.Qty of Structural(WTP)" xfId="1401" xr:uid="{00000000-0005-0000-0000-0000300B0000}"/>
    <cellStyle name="好_130502-Adj.Prov.Qty of Structural(WTP) 2" xfId="1402" xr:uid="{00000000-0005-0000-0000-0000310B0000}"/>
    <cellStyle name="好_144Q004 Revised layout from AI No.15" xfId="1403" xr:uid="{00000000-0005-0000-0000-0000320B0000}"/>
    <cellStyle name="好_2010.04.12 - PolyU IP No. 21" xfId="1404" xr:uid="{00000000-0005-0000-0000-0000330B0000}"/>
    <cellStyle name="好_2010.04.12 - PolyU IP No. 21 2" xfId="1405" xr:uid="{00000000-0005-0000-0000-0000340B0000}"/>
    <cellStyle name="好_2010.05.10 - PolyU IP No. 22" xfId="1406" xr:uid="{00000000-0005-0000-0000-0000350B0000}"/>
    <cellStyle name="好_2010.05.10 - PolyU IP No. 22 2" xfId="1407" xr:uid="{00000000-0005-0000-0000-0000360B0000}"/>
    <cellStyle name="好_704BQT_C3.2.2(TA6)" xfId="1408" xr:uid="{00000000-0005-0000-0000-0000370B0000}"/>
    <cellStyle name="好_704BQT_C3.2.2(TA6) 2" xfId="1409" xr:uid="{00000000-0005-0000-0000-0000380B0000}"/>
    <cellStyle name="好_704BQT_C4.2.2 (TA6)" xfId="1410" xr:uid="{00000000-0005-0000-0000-0000390B0000}"/>
    <cellStyle name="好_704BQT_C4.2.2 (TA6) 2" xfId="1411" xr:uid="{00000000-0005-0000-0000-00003A0B0000}"/>
    <cellStyle name="好_704BQT_C4.2.3 (TA6)" xfId="1412" xr:uid="{00000000-0005-0000-0000-00003B0B0000}"/>
    <cellStyle name="好_704BQT_C4.2.3 (TA6) 2" xfId="1413" xr:uid="{00000000-0005-0000-0000-00003C0B0000}"/>
    <cellStyle name="好_704BQT_C5.2.2 (TA6)" xfId="1414" xr:uid="{00000000-0005-0000-0000-00003D0B0000}"/>
    <cellStyle name="好_704BQT_C5.2.2 (TA6) 2" xfId="1415" xr:uid="{00000000-0005-0000-0000-00003E0B0000}"/>
    <cellStyle name="好_704BQT_C5.2.3 (TA6)" xfId="1416" xr:uid="{00000000-0005-0000-0000-00003F0B0000}"/>
    <cellStyle name="好_704BQT_C5.2.3 (TA6) 2" xfId="1417" xr:uid="{00000000-0005-0000-0000-0000400B0000}"/>
    <cellStyle name="好_704BQT_C6.2.2 (TA6)" xfId="1418" xr:uid="{00000000-0005-0000-0000-0000410B0000}"/>
    <cellStyle name="好_704BQT_C6.2.2 (TA6) 2" xfId="1419" xr:uid="{00000000-0005-0000-0000-0000420B0000}"/>
    <cellStyle name="好_704BQT_C6.2.3 (TA6)" xfId="1420" xr:uid="{00000000-0005-0000-0000-0000430B0000}"/>
    <cellStyle name="好_704BQT_C6.2.3 (TA6) 2" xfId="1421" xr:uid="{00000000-0005-0000-0000-0000440B0000}"/>
    <cellStyle name="好_704BQT_C7.4.2 (TA6)" xfId="1422" xr:uid="{00000000-0005-0000-0000-0000450B0000}"/>
    <cellStyle name="好_704BQT_C7.4.2 (TA6) 2" xfId="1423" xr:uid="{00000000-0005-0000-0000-0000460B0000}"/>
    <cellStyle name="好_704BQT_C7.4.3 (TA6)" xfId="1424" xr:uid="{00000000-0005-0000-0000-0000470B0000}"/>
    <cellStyle name="好_704BQT_C7.4.3 (TA6) 2" xfId="1425" xr:uid="{00000000-0005-0000-0000-0000480B0000}"/>
    <cellStyle name="好_704BQT_F2.1" xfId="1426" xr:uid="{00000000-0005-0000-0000-0000490B0000}"/>
    <cellStyle name="好_704BQT_F2.1 2" xfId="1427" xr:uid="{00000000-0005-0000-0000-00004A0B0000}"/>
    <cellStyle name="好_704BQT_F2_SUM" xfId="1428" xr:uid="{00000000-0005-0000-0000-00004B0B0000}"/>
    <cellStyle name="好_704BQT_F2_SUM 2" xfId="1429" xr:uid="{00000000-0005-0000-0000-00004C0B0000}"/>
    <cellStyle name="好_704BQT_G10.2 (TA6)" xfId="1430" xr:uid="{00000000-0005-0000-0000-00004D0B0000}"/>
    <cellStyle name="好_704BQT_G10.2 (TA6) 2" xfId="1431" xr:uid="{00000000-0005-0000-0000-00004E0B0000}"/>
    <cellStyle name="好_704BQT_G10_SUM" xfId="1432" xr:uid="{00000000-0005-0000-0000-00004F0B0000}"/>
    <cellStyle name="好_704BQT_G10_SUM 2" xfId="1433" xr:uid="{00000000-0005-0000-0000-0000500B0000}"/>
    <cellStyle name="好_704BQT_G8.1 (TA6)" xfId="1434" xr:uid="{00000000-0005-0000-0000-0000510B0000}"/>
    <cellStyle name="好_704BQT_G8.1 (TA6) 2" xfId="1435" xr:uid="{00000000-0005-0000-0000-0000520B0000}"/>
    <cellStyle name="好_A010-IP 12" xfId="1436" xr:uid="{00000000-0005-0000-0000-0000530B0000}"/>
    <cellStyle name="好_A010-IP 12 2" xfId="1437" xr:uid="{00000000-0005-0000-0000-0000540B0000}"/>
    <cellStyle name="好_A010-IP 14" xfId="1438" xr:uid="{00000000-0005-0000-0000-0000550B0000}"/>
    <cellStyle name="好_A010-IP 14 2" xfId="1439" xr:uid="{00000000-0005-0000-0000-0000560B0000}"/>
    <cellStyle name="好_A011 - ERI and VO Summary - Master" xfId="1440" xr:uid="{00000000-0005-0000-0000-0000570B0000}"/>
    <cellStyle name="好_A011 - ERI and VO Summary - Master 2" xfId="1441" xr:uid="{00000000-0005-0000-0000-0000580B0000}"/>
    <cellStyle name="好_CKFC IP 3 - WTP Assessment" xfId="1442" xr:uid="{00000000-0005-0000-0000-0000590B0000}"/>
    <cellStyle name="好_columns starter on 31 Jan 2011" xfId="1443" xr:uid="{00000000-0005-0000-0000-00005A0B0000}"/>
    <cellStyle name="好_columns starter on 31 Jan 2011 2" xfId="1444" xr:uid="{00000000-0005-0000-0000-00005B0B0000}"/>
    <cellStyle name="好_Cost Breakdown Table" xfId="1445" xr:uid="{00000000-0005-0000-0000-00005C0B0000}"/>
    <cellStyle name="好_Cost Breakdown Table 2" xfId="1446" xr:uid="{00000000-0005-0000-0000-00005D0B0000}"/>
    <cellStyle name="好_estimate (TQ)" xfId="1447" xr:uid="{00000000-0005-0000-0000-00005E0B0000}"/>
    <cellStyle name="好_estimate (TQ) 2" xfId="1448" xr:uid="{00000000-0005-0000-0000-00005F0B0000}"/>
    <cellStyle name="好_FTS-MC-IP4" xfId="1449" xr:uid="{00000000-0005-0000-0000-0000600B0000}"/>
    <cellStyle name="好_FTS-MC-IP4 2" xfId="1450" xr:uid="{00000000-0005-0000-0000-0000610B0000}"/>
    <cellStyle name="好_Ground slab &amp; G Beam on 31 Jan 2011" xfId="1451" xr:uid="{00000000-0005-0000-0000-0000620B0000}"/>
    <cellStyle name="好_Ground slab &amp; G Beam on 31 Jan 2011 2" xfId="1452" xr:uid="{00000000-0005-0000-0000-0000630B0000}"/>
    <cellStyle name="好_IP 1- by CKFC(Rev.1) - WTP assessment" xfId="1453" xr:uid="{00000000-0005-0000-0000-0000640B0000}"/>
    <cellStyle name="好_IP 2 - WTP ASSESSMENT" xfId="1454" xr:uid="{00000000-0005-0000-0000-0000650B0000}"/>
    <cellStyle name="好_IP 29(WTP)" xfId="1455" xr:uid="{00000000-0005-0000-0000-0000660B0000}"/>
    <cellStyle name="好_IP Application 11" xfId="1456" xr:uid="{00000000-0005-0000-0000-0000670B0000}"/>
    <cellStyle name="好_IP Application 11 2" xfId="1457" xr:uid="{00000000-0005-0000-0000-0000680B0000}"/>
    <cellStyle name="好_IP No. 12_cert" xfId="1458" xr:uid="{00000000-0005-0000-0000-0000690B0000}"/>
    <cellStyle name="好_IP11_WTP" xfId="1459" xr:uid="{00000000-0005-0000-0000-00006A0B0000}"/>
    <cellStyle name="好_IP11_WTP 2" xfId="1460" xr:uid="{00000000-0005-0000-0000-00006B0B0000}"/>
    <cellStyle name="好_IPA No.1 - WTP assessment" xfId="1461" xr:uid="{00000000-0005-0000-0000-00006C0B0000}"/>
    <cellStyle name="好_J318 - VO summary" xfId="1462" xr:uid="{00000000-0005-0000-0000-00006D0B0000}"/>
    <cellStyle name="好_J318-IP-1(WT Assessment) (To HLE)" xfId="1463" xr:uid="{00000000-0005-0000-0000-00006E0B0000}"/>
    <cellStyle name="好_J318-IP-2 (WTP Assessment)" xfId="1464" xr:uid="{00000000-0005-0000-0000-00006F0B0000}"/>
    <cellStyle name="好_J318-IP-3_20140201 (WTP Assessment)" xfId="1465" xr:uid="{00000000-0005-0000-0000-0000700B0000}"/>
    <cellStyle name="好_J318-IP-4_20140301 (WTP Assessment)" xfId="1466" xr:uid="{00000000-0005-0000-0000-0000710B0000}"/>
    <cellStyle name="好_J318-IP-5_20140401" xfId="1467" xr:uid="{00000000-0005-0000-0000-0000720B0000}"/>
    <cellStyle name="好_J318-IP-5_20140401(WTP Assessment)" xfId="1468" xr:uid="{00000000-0005-0000-0000-0000730B0000}"/>
    <cellStyle name="好_J3336-2011-1st-Forecast-14Feb11-David" xfId="1469" xr:uid="{00000000-0005-0000-0000-0000740B0000}"/>
    <cellStyle name="好_J3336-2011-1st-Forecast-14Feb11-David 2" xfId="1470" xr:uid="{00000000-0005-0000-0000-0000750B0000}"/>
    <cellStyle name="好_K I L 11200-FTS-MC-IP12 (WTP)R1" xfId="1471" xr:uid="{00000000-0005-0000-0000-0000760B0000}"/>
    <cellStyle name="好_K I L 11200-FTS-MC-IP12 (WTP)R1 2" xfId="1472" xr:uid="{00000000-0005-0000-0000-0000770B0000}"/>
    <cellStyle name="好_K I L 11200-FTS-MC-IP13 (AGG)" xfId="1473" xr:uid="{00000000-0005-0000-0000-0000780B0000}"/>
    <cellStyle name="好_K I L 11200-FTS-MC-IP13 (AGG) 2" xfId="1474" xr:uid="{00000000-0005-0000-0000-0000790B0000}"/>
    <cellStyle name="好_KIL11073 Pmt(MC)(08)(BMC)" xfId="1475" xr:uid="{00000000-0005-0000-0000-00007A0B0000}"/>
    <cellStyle name="好_KIL11073 Pmt(MC)(08)(BMC) 2" xfId="1476" xr:uid="{00000000-0005-0000-0000-00007B0B0000}"/>
    <cellStyle name="好_KIL11200-FTS-MC-IP17 (Final)" xfId="1477" xr:uid="{00000000-0005-0000-0000-00007C0B0000}"/>
    <cellStyle name="好_KIL11200-FTS-MC-IP17 (Final) 2" xfId="1478" xr:uid="{00000000-0005-0000-0000-00007D0B0000}"/>
    <cellStyle name="好_KP" xfId="1479" xr:uid="{00000000-0005-0000-0000-00007E0B0000}"/>
    <cellStyle name="好_KP 2" xfId="1480" xr:uid="{00000000-0005-0000-0000-00007F0B0000}"/>
    <cellStyle name="好_KP 2 2" xfId="1481" xr:uid="{00000000-0005-0000-0000-0000800B0000}"/>
    <cellStyle name="好_KP 2 3" xfId="1482" xr:uid="{00000000-0005-0000-0000-0000810B0000}"/>
    <cellStyle name="好_Measurement(Finishes) - Revised (version 3)" xfId="1483" xr:uid="{00000000-0005-0000-0000-0000820B0000}"/>
    <cellStyle name="好_Measurement(Finishes) - Revised (version 3) 2" xfId="1484" xr:uid="{00000000-0005-0000-0000-0000830B0000}"/>
    <cellStyle name="好_NSC Summary" xfId="1485" xr:uid="{00000000-0005-0000-0000-0000840B0000}"/>
    <cellStyle name="好_Payment application 01" xfId="1486" xr:uid="{00000000-0005-0000-0000-0000850B0000}"/>
    <cellStyle name="好_Payment application 01 2" xfId="1487" xr:uid="{00000000-0005-0000-0000-0000860B0000}"/>
    <cellStyle name="好_Payment application 012" xfId="1488" xr:uid="{00000000-0005-0000-0000-0000870B0000}"/>
    <cellStyle name="好_Payment application 012 2" xfId="1489" xr:uid="{00000000-0005-0000-0000-0000880B0000}"/>
    <cellStyle name="好_Payment application no. 5(pmb) - WTP Assessment" xfId="1490" xr:uid="{00000000-0005-0000-0000-0000890B0000}"/>
    <cellStyle name="好_RC Re-measurement (2012-12)" xfId="1491" xr:uid="{00000000-0005-0000-0000-00008A0B0000}"/>
    <cellStyle name="好_RC Re-measurement (2012-12) 2" xfId="1492" xr:uid="{00000000-0005-0000-0000-00008B0B0000}"/>
    <cellStyle name="好_SOR 4.7 Plasterer (Tower) - Adm" xfId="1493" xr:uid="{00000000-0005-0000-0000-00008C0B0000}"/>
    <cellStyle name="好_SOR 4.7 Plasterer (Tower) - Adm 2" xfId="1494" xr:uid="{00000000-0005-0000-0000-00008D0B0000}"/>
    <cellStyle name="好_Structural Remeasurement (2013.4.15)" xfId="1495" xr:uid="{00000000-0005-0000-0000-00008E0B0000}"/>
    <cellStyle name="好_Structural Remeasurement (2013.4.15) 2" xfId="1496" xr:uid="{00000000-0005-0000-0000-00008F0B0000}"/>
    <cellStyle name="好_Structural Remeasurement (2013.4.18)" xfId="1497" xr:uid="{00000000-0005-0000-0000-0000900B0000}"/>
    <cellStyle name="好_Structural Remeasurement (2013.4.18) 2" xfId="1498" xr:uid="{00000000-0005-0000-0000-0000910B0000}"/>
    <cellStyle name="好_SUMMARY" xfId="1499" xr:uid="{00000000-0005-0000-0000-0000920B0000}"/>
    <cellStyle name="好_SUMMARY 2" xfId="1500" xr:uid="{00000000-0005-0000-0000-0000930B0000}"/>
    <cellStyle name="好_SUMMARY 2 2" xfId="1501" xr:uid="{00000000-0005-0000-0000-0000940B0000}"/>
    <cellStyle name="好_SUMMARY 2 3" xfId="1502" xr:uid="{00000000-0005-0000-0000-0000950B0000}"/>
    <cellStyle name="百分比" xfId="2" builtinId="5"/>
    <cellStyle name="百分比 10" xfId="1503" xr:uid="{00000000-0005-0000-0000-0000970B0000}"/>
    <cellStyle name="百分比 2" xfId="13" xr:uid="{00000000-0005-0000-0000-0000980B0000}"/>
    <cellStyle name="百分比 2 2" xfId="1504" xr:uid="{00000000-0005-0000-0000-0000990B0000}"/>
    <cellStyle name="百分比 2 2 2" xfId="1505" xr:uid="{00000000-0005-0000-0000-00009A0B0000}"/>
    <cellStyle name="百分比 2 2 3" xfId="1506" xr:uid="{00000000-0005-0000-0000-00009B0B0000}"/>
    <cellStyle name="百分比 2 2 4" xfId="1507" xr:uid="{00000000-0005-0000-0000-00009C0B0000}"/>
    <cellStyle name="百分比 2 2 5" xfId="1508" xr:uid="{00000000-0005-0000-0000-00009D0B0000}"/>
    <cellStyle name="百分比 2 2 6" xfId="1509" xr:uid="{00000000-0005-0000-0000-00009E0B0000}"/>
    <cellStyle name="百分比 2 2 7" xfId="2675" xr:uid="{00000000-0005-0000-0000-00009F0B0000}"/>
    <cellStyle name="百分比 2 3" xfId="1510" xr:uid="{00000000-0005-0000-0000-0000A00B0000}"/>
    <cellStyle name="百分比 2 3 2" xfId="1511" xr:uid="{00000000-0005-0000-0000-0000A10B0000}"/>
    <cellStyle name="百分比 2 3 3" xfId="1512" xr:uid="{00000000-0005-0000-0000-0000A20B0000}"/>
    <cellStyle name="百分比 2 4" xfId="1513" xr:uid="{00000000-0005-0000-0000-0000A30B0000}"/>
    <cellStyle name="百分比 2 5" xfId="1514" xr:uid="{00000000-0005-0000-0000-0000A40B0000}"/>
    <cellStyle name="百分比 2 6" xfId="1515" xr:uid="{00000000-0005-0000-0000-0000A50B0000}"/>
    <cellStyle name="百分比 2 7" xfId="1516" xr:uid="{00000000-0005-0000-0000-0000A60B0000}"/>
    <cellStyle name="百分比 2 7 2" xfId="1517" xr:uid="{00000000-0005-0000-0000-0000A70B0000}"/>
    <cellStyle name="百分比 3" xfId="1518" xr:uid="{00000000-0005-0000-0000-0000A80B0000}"/>
    <cellStyle name="百分比 3 2" xfId="1519" xr:uid="{00000000-0005-0000-0000-0000A90B0000}"/>
    <cellStyle name="百分比 3 2 2" xfId="1520" xr:uid="{00000000-0005-0000-0000-0000AA0B0000}"/>
    <cellStyle name="百分比 3 3" xfId="1521" xr:uid="{00000000-0005-0000-0000-0000AB0B0000}"/>
    <cellStyle name="百分比 3 4" xfId="1522" xr:uid="{00000000-0005-0000-0000-0000AC0B0000}"/>
    <cellStyle name="百分比 3 5" xfId="28" xr:uid="{00000000-0005-0000-0000-0000AD0B0000}"/>
    <cellStyle name="百分比 3 6" xfId="2677" xr:uid="{00000000-0005-0000-0000-0000AE0B0000}"/>
    <cellStyle name="百分比 3_IP 29(WTP)" xfId="1523" xr:uid="{00000000-0005-0000-0000-0000AF0B0000}"/>
    <cellStyle name="百分比 4" xfId="1524" xr:uid="{00000000-0005-0000-0000-0000B00B0000}"/>
    <cellStyle name="百分比 4 2" xfId="1525" xr:uid="{00000000-0005-0000-0000-0000B10B0000}"/>
    <cellStyle name="百分比 4 3" xfId="1526" xr:uid="{00000000-0005-0000-0000-0000B20B0000}"/>
    <cellStyle name="百分比 5" xfId="1527" xr:uid="{00000000-0005-0000-0000-0000B30B0000}"/>
    <cellStyle name="百分比 6" xfId="1528" xr:uid="{00000000-0005-0000-0000-0000B40B0000}"/>
    <cellStyle name="百分比 7" xfId="1529" xr:uid="{00000000-0005-0000-0000-0000B50B0000}"/>
    <cellStyle name="百分比 8" xfId="1530" xr:uid="{00000000-0005-0000-0000-0000B60B0000}"/>
    <cellStyle name="百分比 9" xfId="1531" xr:uid="{00000000-0005-0000-0000-0000B70B0000}"/>
    <cellStyle name="注释" xfId="1532" xr:uid="{00000000-0005-0000-0000-0000B80B0000}"/>
    <cellStyle name="注释 2" xfId="1533" xr:uid="{00000000-0005-0000-0000-0000B90B0000}"/>
    <cellStyle name="注释 2 2" xfId="1534" xr:uid="{00000000-0005-0000-0000-0000BA0B0000}"/>
    <cellStyle name="注释 2 2 10" xfId="1535" xr:uid="{00000000-0005-0000-0000-0000BB0B0000}"/>
    <cellStyle name="注释 2 2 10 2" xfId="2481" xr:uid="{00000000-0005-0000-0000-0000BC0B0000}"/>
    <cellStyle name="注释 2 2 10 2 2" xfId="4071" xr:uid="{00000000-0005-0000-0000-0000BD0B0000}"/>
    <cellStyle name="注释 2 2 10 3" xfId="3408" xr:uid="{00000000-0005-0000-0000-0000BE0B0000}"/>
    <cellStyle name="注释 2 2 11" xfId="1536" xr:uid="{00000000-0005-0000-0000-0000BF0B0000}"/>
    <cellStyle name="注释 2 2 11 2" xfId="2482" xr:uid="{00000000-0005-0000-0000-0000C00B0000}"/>
    <cellStyle name="注释 2 2 11 2 2" xfId="4072" xr:uid="{00000000-0005-0000-0000-0000C10B0000}"/>
    <cellStyle name="注释 2 2 11 3" xfId="3409" xr:uid="{00000000-0005-0000-0000-0000C20B0000}"/>
    <cellStyle name="注释 2 2 12" xfId="1537" xr:uid="{00000000-0005-0000-0000-0000C30B0000}"/>
    <cellStyle name="注释 2 2 12 2" xfId="2483" xr:uid="{00000000-0005-0000-0000-0000C40B0000}"/>
    <cellStyle name="注释 2 2 12 2 2" xfId="4073" xr:uid="{00000000-0005-0000-0000-0000C50B0000}"/>
    <cellStyle name="注释 2 2 12 3" xfId="3410" xr:uid="{00000000-0005-0000-0000-0000C60B0000}"/>
    <cellStyle name="注释 2 2 13" xfId="1538" xr:uid="{00000000-0005-0000-0000-0000C70B0000}"/>
    <cellStyle name="注释 2 2 13 2" xfId="2484" xr:uid="{00000000-0005-0000-0000-0000C80B0000}"/>
    <cellStyle name="注释 2 2 13 2 2" xfId="4074" xr:uid="{00000000-0005-0000-0000-0000C90B0000}"/>
    <cellStyle name="注释 2 2 13 3" xfId="3411" xr:uid="{00000000-0005-0000-0000-0000CA0B0000}"/>
    <cellStyle name="注释 2 2 14" xfId="2480" xr:uid="{00000000-0005-0000-0000-0000CB0B0000}"/>
    <cellStyle name="注释 2 2 14 2" xfId="4070" xr:uid="{00000000-0005-0000-0000-0000CC0B0000}"/>
    <cellStyle name="注释 2 2 15" xfId="3407" xr:uid="{00000000-0005-0000-0000-0000CD0B0000}"/>
    <cellStyle name="注释 2 2 2" xfId="1539" xr:uid="{00000000-0005-0000-0000-0000CE0B0000}"/>
    <cellStyle name="注释 2 2 2 2" xfId="2485" xr:uid="{00000000-0005-0000-0000-0000CF0B0000}"/>
    <cellStyle name="注释 2 2 2 2 2" xfId="4075" xr:uid="{00000000-0005-0000-0000-0000D00B0000}"/>
    <cellStyle name="注释 2 2 2 3" xfId="3412" xr:uid="{00000000-0005-0000-0000-0000D10B0000}"/>
    <cellStyle name="注释 2 2 3" xfId="1540" xr:uid="{00000000-0005-0000-0000-0000D20B0000}"/>
    <cellStyle name="注释 2 2 3 2" xfId="2486" xr:uid="{00000000-0005-0000-0000-0000D30B0000}"/>
    <cellStyle name="注释 2 2 3 2 2" xfId="4076" xr:uid="{00000000-0005-0000-0000-0000D40B0000}"/>
    <cellStyle name="注释 2 2 3 3" xfId="3413" xr:uid="{00000000-0005-0000-0000-0000D50B0000}"/>
    <cellStyle name="注释 2 2 4" xfId="1541" xr:uid="{00000000-0005-0000-0000-0000D60B0000}"/>
    <cellStyle name="注释 2 2 4 2" xfId="2487" xr:uid="{00000000-0005-0000-0000-0000D70B0000}"/>
    <cellStyle name="注释 2 2 4 2 2" xfId="4077" xr:uid="{00000000-0005-0000-0000-0000D80B0000}"/>
    <cellStyle name="注释 2 2 4 3" xfId="3414" xr:uid="{00000000-0005-0000-0000-0000D90B0000}"/>
    <cellStyle name="注释 2 2 5" xfId="1542" xr:uid="{00000000-0005-0000-0000-0000DA0B0000}"/>
    <cellStyle name="注释 2 2 5 2" xfId="2488" xr:uid="{00000000-0005-0000-0000-0000DB0B0000}"/>
    <cellStyle name="注释 2 2 5 2 2" xfId="4078" xr:uid="{00000000-0005-0000-0000-0000DC0B0000}"/>
    <cellStyle name="注释 2 2 5 3" xfId="3415" xr:uid="{00000000-0005-0000-0000-0000DD0B0000}"/>
    <cellStyle name="注释 2 2 6" xfId="1543" xr:uid="{00000000-0005-0000-0000-0000DE0B0000}"/>
    <cellStyle name="注释 2 2 6 2" xfId="2489" xr:uid="{00000000-0005-0000-0000-0000DF0B0000}"/>
    <cellStyle name="注释 2 2 6 2 2" xfId="4079" xr:uid="{00000000-0005-0000-0000-0000E00B0000}"/>
    <cellStyle name="注释 2 2 6 3" xfId="3416" xr:uid="{00000000-0005-0000-0000-0000E10B0000}"/>
    <cellStyle name="注释 2 2 7" xfId="1544" xr:uid="{00000000-0005-0000-0000-0000E20B0000}"/>
    <cellStyle name="注释 2 2 7 2" xfId="2490" xr:uid="{00000000-0005-0000-0000-0000E30B0000}"/>
    <cellStyle name="注释 2 2 7 2 2" xfId="4080" xr:uid="{00000000-0005-0000-0000-0000E40B0000}"/>
    <cellStyle name="注释 2 2 7 3" xfId="3417" xr:uid="{00000000-0005-0000-0000-0000E50B0000}"/>
    <cellStyle name="注释 2 2 8" xfId="1545" xr:uid="{00000000-0005-0000-0000-0000E60B0000}"/>
    <cellStyle name="注释 2 2 8 2" xfId="2491" xr:uid="{00000000-0005-0000-0000-0000E70B0000}"/>
    <cellStyle name="注释 2 2 8 2 2" xfId="4081" xr:uid="{00000000-0005-0000-0000-0000E80B0000}"/>
    <cellStyle name="注释 2 2 8 3" xfId="3418" xr:uid="{00000000-0005-0000-0000-0000E90B0000}"/>
    <cellStyle name="注释 2 2 9" xfId="1546" xr:uid="{00000000-0005-0000-0000-0000EA0B0000}"/>
    <cellStyle name="注释 2 2 9 2" xfId="2492" xr:uid="{00000000-0005-0000-0000-0000EB0B0000}"/>
    <cellStyle name="注释 2 2 9 2 2" xfId="4082" xr:uid="{00000000-0005-0000-0000-0000EC0B0000}"/>
    <cellStyle name="注释 2 2 9 3" xfId="3419" xr:uid="{00000000-0005-0000-0000-0000ED0B0000}"/>
    <cellStyle name="注释 2 3" xfId="1547" xr:uid="{00000000-0005-0000-0000-0000EE0B0000}"/>
    <cellStyle name="注释 2 3 2" xfId="2493" xr:uid="{00000000-0005-0000-0000-0000EF0B0000}"/>
    <cellStyle name="注释 2 3 2 2" xfId="4083" xr:uid="{00000000-0005-0000-0000-0000F00B0000}"/>
    <cellStyle name="注释 2 3 3" xfId="3420" xr:uid="{00000000-0005-0000-0000-0000F10B0000}"/>
    <cellStyle name="注释 2 4" xfId="2479" xr:uid="{00000000-0005-0000-0000-0000F20B0000}"/>
    <cellStyle name="注释 2 4 2" xfId="4069" xr:uid="{00000000-0005-0000-0000-0000F30B0000}"/>
    <cellStyle name="注释 2 5" xfId="3406" xr:uid="{00000000-0005-0000-0000-0000F40B0000}"/>
    <cellStyle name="注释 3" xfId="1548" xr:uid="{00000000-0005-0000-0000-0000F50B0000}"/>
    <cellStyle name="注释 3 2" xfId="1549" xr:uid="{00000000-0005-0000-0000-0000F60B0000}"/>
    <cellStyle name="注释 3 2 10" xfId="1550" xr:uid="{00000000-0005-0000-0000-0000F70B0000}"/>
    <cellStyle name="注释 3 2 10 2" xfId="2496" xr:uid="{00000000-0005-0000-0000-0000F80B0000}"/>
    <cellStyle name="注释 3 2 10 2 2" xfId="4086" xr:uid="{00000000-0005-0000-0000-0000F90B0000}"/>
    <cellStyle name="注释 3 2 10 3" xfId="3423" xr:uid="{00000000-0005-0000-0000-0000FA0B0000}"/>
    <cellStyle name="注释 3 2 11" xfId="1551" xr:uid="{00000000-0005-0000-0000-0000FB0B0000}"/>
    <cellStyle name="注释 3 2 11 2" xfId="2497" xr:uid="{00000000-0005-0000-0000-0000FC0B0000}"/>
    <cellStyle name="注释 3 2 11 2 2" xfId="4087" xr:uid="{00000000-0005-0000-0000-0000FD0B0000}"/>
    <cellStyle name="注释 3 2 11 3" xfId="3424" xr:uid="{00000000-0005-0000-0000-0000FE0B0000}"/>
    <cellStyle name="注释 3 2 12" xfId="1552" xr:uid="{00000000-0005-0000-0000-0000FF0B0000}"/>
    <cellStyle name="注释 3 2 12 2" xfId="2498" xr:uid="{00000000-0005-0000-0000-0000000C0000}"/>
    <cellStyle name="注释 3 2 12 2 2" xfId="4088" xr:uid="{00000000-0005-0000-0000-0000010C0000}"/>
    <cellStyle name="注释 3 2 12 3" xfId="3425" xr:uid="{00000000-0005-0000-0000-0000020C0000}"/>
    <cellStyle name="注释 3 2 13" xfId="1553" xr:uid="{00000000-0005-0000-0000-0000030C0000}"/>
    <cellStyle name="注释 3 2 13 2" xfId="2499" xr:uid="{00000000-0005-0000-0000-0000040C0000}"/>
    <cellStyle name="注释 3 2 13 2 2" xfId="4089" xr:uid="{00000000-0005-0000-0000-0000050C0000}"/>
    <cellStyle name="注释 3 2 13 3" xfId="3426" xr:uid="{00000000-0005-0000-0000-0000060C0000}"/>
    <cellStyle name="注释 3 2 14" xfId="2495" xr:uid="{00000000-0005-0000-0000-0000070C0000}"/>
    <cellStyle name="注释 3 2 14 2" xfId="4085" xr:uid="{00000000-0005-0000-0000-0000080C0000}"/>
    <cellStyle name="注释 3 2 15" xfId="3422" xr:uid="{00000000-0005-0000-0000-0000090C0000}"/>
    <cellStyle name="注释 3 2 2" xfId="1554" xr:uid="{00000000-0005-0000-0000-00000A0C0000}"/>
    <cellStyle name="注释 3 2 2 2" xfId="2500" xr:uid="{00000000-0005-0000-0000-00000B0C0000}"/>
    <cellStyle name="注释 3 2 2 2 2" xfId="4090" xr:uid="{00000000-0005-0000-0000-00000C0C0000}"/>
    <cellStyle name="注释 3 2 2 3" xfId="3427" xr:uid="{00000000-0005-0000-0000-00000D0C0000}"/>
    <cellStyle name="注释 3 2 3" xfId="1555" xr:uid="{00000000-0005-0000-0000-00000E0C0000}"/>
    <cellStyle name="注释 3 2 3 2" xfId="2501" xr:uid="{00000000-0005-0000-0000-00000F0C0000}"/>
    <cellStyle name="注释 3 2 3 2 2" xfId="4091" xr:uid="{00000000-0005-0000-0000-0000100C0000}"/>
    <cellStyle name="注释 3 2 3 3" xfId="3428" xr:uid="{00000000-0005-0000-0000-0000110C0000}"/>
    <cellStyle name="注释 3 2 4" xfId="1556" xr:uid="{00000000-0005-0000-0000-0000120C0000}"/>
    <cellStyle name="注释 3 2 4 2" xfId="2502" xr:uid="{00000000-0005-0000-0000-0000130C0000}"/>
    <cellStyle name="注释 3 2 4 2 2" xfId="4092" xr:uid="{00000000-0005-0000-0000-0000140C0000}"/>
    <cellStyle name="注释 3 2 4 3" xfId="3429" xr:uid="{00000000-0005-0000-0000-0000150C0000}"/>
    <cellStyle name="注释 3 2 5" xfId="1557" xr:uid="{00000000-0005-0000-0000-0000160C0000}"/>
    <cellStyle name="注释 3 2 5 2" xfId="2503" xr:uid="{00000000-0005-0000-0000-0000170C0000}"/>
    <cellStyle name="注释 3 2 5 2 2" xfId="4093" xr:uid="{00000000-0005-0000-0000-0000180C0000}"/>
    <cellStyle name="注释 3 2 5 3" xfId="3430" xr:uid="{00000000-0005-0000-0000-0000190C0000}"/>
    <cellStyle name="注释 3 2 6" xfId="1558" xr:uid="{00000000-0005-0000-0000-00001A0C0000}"/>
    <cellStyle name="注释 3 2 6 2" xfId="2504" xr:uid="{00000000-0005-0000-0000-00001B0C0000}"/>
    <cellStyle name="注释 3 2 6 2 2" xfId="4094" xr:uid="{00000000-0005-0000-0000-00001C0C0000}"/>
    <cellStyle name="注释 3 2 6 3" xfId="3431" xr:uid="{00000000-0005-0000-0000-00001D0C0000}"/>
    <cellStyle name="注释 3 2 7" xfId="1559" xr:uid="{00000000-0005-0000-0000-00001E0C0000}"/>
    <cellStyle name="注释 3 2 7 2" xfId="2505" xr:uid="{00000000-0005-0000-0000-00001F0C0000}"/>
    <cellStyle name="注释 3 2 7 2 2" xfId="4095" xr:uid="{00000000-0005-0000-0000-0000200C0000}"/>
    <cellStyle name="注释 3 2 7 3" xfId="3432" xr:uid="{00000000-0005-0000-0000-0000210C0000}"/>
    <cellStyle name="注释 3 2 8" xfId="1560" xr:uid="{00000000-0005-0000-0000-0000220C0000}"/>
    <cellStyle name="注释 3 2 8 2" xfId="2506" xr:uid="{00000000-0005-0000-0000-0000230C0000}"/>
    <cellStyle name="注释 3 2 8 2 2" xfId="4096" xr:uid="{00000000-0005-0000-0000-0000240C0000}"/>
    <cellStyle name="注释 3 2 8 3" xfId="3433" xr:uid="{00000000-0005-0000-0000-0000250C0000}"/>
    <cellStyle name="注释 3 2 9" xfId="1561" xr:uid="{00000000-0005-0000-0000-0000260C0000}"/>
    <cellStyle name="注释 3 2 9 2" xfId="2507" xr:uid="{00000000-0005-0000-0000-0000270C0000}"/>
    <cellStyle name="注释 3 2 9 2 2" xfId="4097" xr:uid="{00000000-0005-0000-0000-0000280C0000}"/>
    <cellStyle name="注释 3 2 9 3" xfId="3434" xr:uid="{00000000-0005-0000-0000-0000290C0000}"/>
    <cellStyle name="注释 3 3" xfId="1562" xr:uid="{00000000-0005-0000-0000-00002A0C0000}"/>
    <cellStyle name="注释 3 3 2" xfId="2508" xr:uid="{00000000-0005-0000-0000-00002B0C0000}"/>
    <cellStyle name="注释 3 3 2 2" xfId="4098" xr:uid="{00000000-0005-0000-0000-00002C0C0000}"/>
    <cellStyle name="注释 3 3 3" xfId="3435" xr:uid="{00000000-0005-0000-0000-00002D0C0000}"/>
    <cellStyle name="注释 3 4" xfId="2494" xr:uid="{00000000-0005-0000-0000-00002E0C0000}"/>
    <cellStyle name="注释 3 4 2" xfId="4084" xr:uid="{00000000-0005-0000-0000-00002F0C0000}"/>
    <cellStyle name="注释 3 5" xfId="3421" xr:uid="{00000000-0005-0000-0000-0000300C0000}"/>
    <cellStyle name="注释 4" xfId="1563" xr:uid="{00000000-0005-0000-0000-0000310C0000}"/>
    <cellStyle name="注释 4 10" xfId="1564" xr:uid="{00000000-0005-0000-0000-0000320C0000}"/>
    <cellStyle name="注释 4 10 2" xfId="2510" xr:uid="{00000000-0005-0000-0000-0000330C0000}"/>
    <cellStyle name="注释 4 10 2 2" xfId="4100" xr:uid="{00000000-0005-0000-0000-0000340C0000}"/>
    <cellStyle name="注释 4 10 3" xfId="3437" xr:uid="{00000000-0005-0000-0000-0000350C0000}"/>
    <cellStyle name="注释 4 11" xfId="1565" xr:uid="{00000000-0005-0000-0000-0000360C0000}"/>
    <cellStyle name="注释 4 11 2" xfId="2511" xr:uid="{00000000-0005-0000-0000-0000370C0000}"/>
    <cellStyle name="注释 4 11 2 2" xfId="4101" xr:uid="{00000000-0005-0000-0000-0000380C0000}"/>
    <cellStyle name="注释 4 11 3" xfId="3438" xr:uid="{00000000-0005-0000-0000-0000390C0000}"/>
    <cellStyle name="注释 4 12" xfId="1566" xr:uid="{00000000-0005-0000-0000-00003A0C0000}"/>
    <cellStyle name="注释 4 12 2" xfId="2512" xr:uid="{00000000-0005-0000-0000-00003B0C0000}"/>
    <cellStyle name="注释 4 12 2 2" xfId="4102" xr:uid="{00000000-0005-0000-0000-00003C0C0000}"/>
    <cellStyle name="注释 4 12 3" xfId="3439" xr:uid="{00000000-0005-0000-0000-00003D0C0000}"/>
    <cellStyle name="注释 4 13" xfId="1567" xr:uid="{00000000-0005-0000-0000-00003E0C0000}"/>
    <cellStyle name="注释 4 13 2" xfId="2513" xr:uid="{00000000-0005-0000-0000-00003F0C0000}"/>
    <cellStyle name="注释 4 13 2 2" xfId="4103" xr:uid="{00000000-0005-0000-0000-0000400C0000}"/>
    <cellStyle name="注释 4 13 3" xfId="3440" xr:uid="{00000000-0005-0000-0000-0000410C0000}"/>
    <cellStyle name="注释 4 14" xfId="2509" xr:uid="{00000000-0005-0000-0000-0000420C0000}"/>
    <cellStyle name="注释 4 14 2" xfId="4099" xr:uid="{00000000-0005-0000-0000-0000430C0000}"/>
    <cellStyle name="注释 4 15" xfId="3436" xr:uid="{00000000-0005-0000-0000-0000440C0000}"/>
    <cellStyle name="注释 4 2" xfId="1568" xr:uid="{00000000-0005-0000-0000-0000450C0000}"/>
    <cellStyle name="注释 4 2 2" xfId="2514" xr:uid="{00000000-0005-0000-0000-0000460C0000}"/>
    <cellStyle name="注释 4 2 2 2" xfId="4104" xr:uid="{00000000-0005-0000-0000-0000470C0000}"/>
    <cellStyle name="注释 4 2 3" xfId="3441" xr:uid="{00000000-0005-0000-0000-0000480C0000}"/>
    <cellStyle name="注释 4 3" xfId="1569" xr:uid="{00000000-0005-0000-0000-0000490C0000}"/>
    <cellStyle name="注释 4 3 2" xfId="2515" xr:uid="{00000000-0005-0000-0000-00004A0C0000}"/>
    <cellStyle name="注释 4 3 2 2" xfId="4105" xr:uid="{00000000-0005-0000-0000-00004B0C0000}"/>
    <cellStyle name="注释 4 3 3" xfId="3442" xr:uid="{00000000-0005-0000-0000-00004C0C0000}"/>
    <cellStyle name="注释 4 4" xfId="1570" xr:uid="{00000000-0005-0000-0000-00004D0C0000}"/>
    <cellStyle name="注释 4 4 2" xfId="2516" xr:uid="{00000000-0005-0000-0000-00004E0C0000}"/>
    <cellStyle name="注释 4 4 2 2" xfId="4106" xr:uid="{00000000-0005-0000-0000-00004F0C0000}"/>
    <cellStyle name="注释 4 4 3" xfId="3443" xr:uid="{00000000-0005-0000-0000-0000500C0000}"/>
    <cellStyle name="注释 4 5" xfId="1571" xr:uid="{00000000-0005-0000-0000-0000510C0000}"/>
    <cellStyle name="注释 4 5 2" xfId="2517" xr:uid="{00000000-0005-0000-0000-0000520C0000}"/>
    <cellStyle name="注释 4 5 2 2" xfId="4107" xr:uid="{00000000-0005-0000-0000-0000530C0000}"/>
    <cellStyle name="注释 4 5 3" xfId="3444" xr:uid="{00000000-0005-0000-0000-0000540C0000}"/>
    <cellStyle name="注释 4 6" xfId="1572" xr:uid="{00000000-0005-0000-0000-0000550C0000}"/>
    <cellStyle name="注释 4 6 2" xfId="2518" xr:uid="{00000000-0005-0000-0000-0000560C0000}"/>
    <cellStyle name="注释 4 6 2 2" xfId="4108" xr:uid="{00000000-0005-0000-0000-0000570C0000}"/>
    <cellStyle name="注释 4 6 3" xfId="3445" xr:uid="{00000000-0005-0000-0000-0000580C0000}"/>
    <cellStyle name="注释 4 7" xfId="1573" xr:uid="{00000000-0005-0000-0000-0000590C0000}"/>
    <cellStyle name="注释 4 7 2" xfId="2519" xr:uid="{00000000-0005-0000-0000-00005A0C0000}"/>
    <cellStyle name="注释 4 7 2 2" xfId="4109" xr:uid="{00000000-0005-0000-0000-00005B0C0000}"/>
    <cellStyle name="注释 4 7 3" xfId="3446" xr:uid="{00000000-0005-0000-0000-00005C0C0000}"/>
    <cellStyle name="注释 4 8" xfId="1574" xr:uid="{00000000-0005-0000-0000-00005D0C0000}"/>
    <cellStyle name="注释 4 8 2" xfId="2520" xr:uid="{00000000-0005-0000-0000-00005E0C0000}"/>
    <cellStyle name="注释 4 8 2 2" xfId="4110" xr:uid="{00000000-0005-0000-0000-00005F0C0000}"/>
    <cellStyle name="注释 4 8 3" xfId="3447" xr:uid="{00000000-0005-0000-0000-0000600C0000}"/>
    <cellStyle name="注释 4 9" xfId="1575" xr:uid="{00000000-0005-0000-0000-0000610C0000}"/>
    <cellStyle name="注释 4 9 2" xfId="2521" xr:uid="{00000000-0005-0000-0000-0000620C0000}"/>
    <cellStyle name="注释 4 9 2 2" xfId="4111" xr:uid="{00000000-0005-0000-0000-0000630C0000}"/>
    <cellStyle name="注释 4 9 3" xfId="3448" xr:uid="{00000000-0005-0000-0000-0000640C0000}"/>
    <cellStyle name="注释 5" xfId="1576" xr:uid="{00000000-0005-0000-0000-0000650C0000}"/>
    <cellStyle name="注释 5 2" xfId="2522" xr:uid="{00000000-0005-0000-0000-0000660C0000}"/>
    <cellStyle name="注释 5 2 2" xfId="4112" xr:uid="{00000000-0005-0000-0000-0000670C0000}"/>
    <cellStyle name="注释 5 3" xfId="3449" xr:uid="{00000000-0005-0000-0000-0000680C0000}"/>
    <cellStyle name="注释 6" xfId="2478" xr:uid="{00000000-0005-0000-0000-0000690C0000}"/>
    <cellStyle name="注释 6 2" xfId="4068" xr:uid="{00000000-0005-0000-0000-00006A0C0000}"/>
    <cellStyle name="注释 7" xfId="3405" xr:uid="{00000000-0005-0000-0000-00006B0C0000}"/>
    <cellStyle name="标题" xfId="2132" xr:uid="{00000000-0005-0000-0000-00006C0C0000}"/>
    <cellStyle name="标题 1" xfId="2133" xr:uid="{00000000-0005-0000-0000-00006D0C0000}"/>
    <cellStyle name="标题 1 2" xfId="2134" xr:uid="{00000000-0005-0000-0000-00006E0C0000}"/>
    <cellStyle name="标题 1 3" xfId="2135" xr:uid="{00000000-0005-0000-0000-00006F0C0000}"/>
    <cellStyle name="标题 2" xfId="2136" xr:uid="{00000000-0005-0000-0000-0000700C0000}"/>
    <cellStyle name="标题 2 2" xfId="2137" xr:uid="{00000000-0005-0000-0000-0000710C0000}"/>
    <cellStyle name="标题 2 3" xfId="2138" xr:uid="{00000000-0005-0000-0000-0000720C0000}"/>
    <cellStyle name="标题 3" xfId="2139" xr:uid="{00000000-0005-0000-0000-0000730C0000}"/>
    <cellStyle name="标题 3 2" xfId="2140" xr:uid="{00000000-0005-0000-0000-0000740C0000}"/>
    <cellStyle name="标题 3 3" xfId="2141" xr:uid="{00000000-0005-0000-0000-0000750C0000}"/>
    <cellStyle name="标题 4" xfId="2142" xr:uid="{00000000-0005-0000-0000-0000760C0000}"/>
    <cellStyle name="标题 4 2" xfId="2143" xr:uid="{00000000-0005-0000-0000-0000770C0000}"/>
    <cellStyle name="标题 4 3" xfId="2144" xr:uid="{00000000-0005-0000-0000-0000780C0000}"/>
    <cellStyle name="标题 5" xfId="2145" xr:uid="{00000000-0005-0000-0000-0000790C0000}"/>
    <cellStyle name="标题 6" xfId="2146" xr:uid="{00000000-0005-0000-0000-00007A0C0000}"/>
    <cellStyle name="标题_KIL11200-FTS-MC-IP17 (Final)" xfId="2147" xr:uid="{00000000-0005-0000-0000-00007B0C0000}"/>
    <cellStyle name="計算方式 2" xfId="1577" xr:uid="{00000000-0005-0000-0000-00007C0C0000}"/>
    <cellStyle name="計算方式 2 2" xfId="1578" xr:uid="{00000000-0005-0000-0000-00007D0C0000}"/>
    <cellStyle name="計算方式 2 2 10" xfId="1579" xr:uid="{00000000-0005-0000-0000-00007E0C0000}"/>
    <cellStyle name="計算方式 2 2 10 2" xfId="3452" xr:uid="{00000000-0005-0000-0000-00007F0C0000}"/>
    <cellStyle name="計算方式 2 2 11" xfId="1580" xr:uid="{00000000-0005-0000-0000-0000800C0000}"/>
    <cellStyle name="計算方式 2 2 11 2" xfId="3453" xr:uid="{00000000-0005-0000-0000-0000810C0000}"/>
    <cellStyle name="計算方式 2 2 12" xfId="1581" xr:uid="{00000000-0005-0000-0000-0000820C0000}"/>
    <cellStyle name="計算方式 2 2 12 2" xfId="3454" xr:uid="{00000000-0005-0000-0000-0000830C0000}"/>
    <cellStyle name="計算方式 2 2 13" xfId="1582" xr:uid="{00000000-0005-0000-0000-0000840C0000}"/>
    <cellStyle name="計算方式 2 2 13 2" xfId="3455" xr:uid="{00000000-0005-0000-0000-0000850C0000}"/>
    <cellStyle name="計算方式 2 2 14" xfId="3451" xr:uid="{00000000-0005-0000-0000-0000860C0000}"/>
    <cellStyle name="計算方式 2 2 2" xfId="1583" xr:uid="{00000000-0005-0000-0000-0000870C0000}"/>
    <cellStyle name="計算方式 2 2 2 2" xfId="3456" xr:uid="{00000000-0005-0000-0000-0000880C0000}"/>
    <cellStyle name="計算方式 2 2 3" xfId="1584" xr:uid="{00000000-0005-0000-0000-0000890C0000}"/>
    <cellStyle name="計算方式 2 2 3 2" xfId="3457" xr:uid="{00000000-0005-0000-0000-00008A0C0000}"/>
    <cellStyle name="計算方式 2 2 4" xfId="1585" xr:uid="{00000000-0005-0000-0000-00008B0C0000}"/>
    <cellStyle name="計算方式 2 2 4 2" xfId="3458" xr:uid="{00000000-0005-0000-0000-00008C0C0000}"/>
    <cellStyle name="計算方式 2 2 5" xfId="1586" xr:uid="{00000000-0005-0000-0000-00008D0C0000}"/>
    <cellStyle name="計算方式 2 2 5 2" xfId="3459" xr:uid="{00000000-0005-0000-0000-00008E0C0000}"/>
    <cellStyle name="計算方式 2 2 6" xfId="1587" xr:uid="{00000000-0005-0000-0000-00008F0C0000}"/>
    <cellStyle name="計算方式 2 2 6 2" xfId="3460" xr:uid="{00000000-0005-0000-0000-0000900C0000}"/>
    <cellStyle name="計算方式 2 2 7" xfId="1588" xr:uid="{00000000-0005-0000-0000-0000910C0000}"/>
    <cellStyle name="計算方式 2 2 7 2" xfId="3461" xr:uid="{00000000-0005-0000-0000-0000920C0000}"/>
    <cellStyle name="計算方式 2 2 8" xfId="1589" xr:uid="{00000000-0005-0000-0000-0000930C0000}"/>
    <cellStyle name="計算方式 2 2 8 2" xfId="3462" xr:uid="{00000000-0005-0000-0000-0000940C0000}"/>
    <cellStyle name="計算方式 2 2 9" xfId="1590" xr:uid="{00000000-0005-0000-0000-0000950C0000}"/>
    <cellStyle name="計算方式 2 2 9 2" xfId="3463" xr:uid="{00000000-0005-0000-0000-0000960C0000}"/>
    <cellStyle name="計算方式 2 3" xfId="1591" xr:uid="{00000000-0005-0000-0000-0000970C0000}"/>
    <cellStyle name="計算方式 2 3 10" xfId="1592" xr:uid="{00000000-0005-0000-0000-0000980C0000}"/>
    <cellStyle name="計算方式 2 3 10 2" xfId="3465" xr:uid="{00000000-0005-0000-0000-0000990C0000}"/>
    <cellStyle name="計算方式 2 3 11" xfId="1593" xr:uid="{00000000-0005-0000-0000-00009A0C0000}"/>
    <cellStyle name="計算方式 2 3 11 2" xfId="3466" xr:uid="{00000000-0005-0000-0000-00009B0C0000}"/>
    <cellStyle name="計算方式 2 3 12" xfId="1594" xr:uid="{00000000-0005-0000-0000-00009C0C0000}"/>
    <cellStyle name="計算方式 2 3 12 2" xfId="3467" xr:uid="{00000000-0005-0000-0000-00009D0C0000}"/>
    <cellStyle name="計算方式 2 3 13" xfId="1595" xr:uid="{00000000-0005-0000-0000-00009E0C0000}"/>
    <cellStyle name="計算方式 2 3 13 2" xfId="3468" xr:uid="{00000000-0005-0000-0000-00009F0C0000}"/>
    <cellStyle name="計算方式 2 3 14" xfId="3464" xr:uid="{00000000-0005-0000-0000-0000A00C0000}"/>
    <cellStyle name="計算方式 2 3 2" xfId="1596" xr:uid="{00000000-0005-0000-0000-0000A10C0000}"/>
    <cellStyle name="計算方式 2 3 2 2" xfId="3469" xr:uid="{00000000-0005-0000-0000-0000A20C0000}"/>
    <cellStyle name="計算方式 2 3 3" xfId="1597" xr:uid="{00000000-0005-0000-0000-0000A30C0000}"/>
    <cellStyle name="計算方式 2 3 3 2" xfId="3470" xr:uid="{00000000-0005-0000-0000-0000A40C0000}"/>
    <cellStyle name="計算方式 2 3 4" xfId="1598" xr:uid="{00000000-0005-0000-0000-0000A50C0000}"/>
    <cellStyle name="計算方式 2 3 4 2" xfId="3471" xr:uid="{00000000-0005-0000-0000-0000A60C0000}"/>
    <cellStyle name="計算方式 2 3 5" xfId="1599" xr:uid="{00000000-0005-0000-0000-0000A70C0000}"/>
    <cellStyle name="計算方式 2 3 5 2" xfId="3472" xr:uid="{00000000-0005-0000-0000-0000A80C0000}"/>
    <cellStyle name="計算方式 2 3 6" xfId="1600" xr:uid="{00000000-0005-0000-0000-0000A90C0000}"/>
    <cellStyle name="計算方式 2 3 6 2" xfId="3473" xr:uid="{00000000-0005-0000-0000-0000AA0C0000}"/>
    <cellStyle name="計算方式 2 3 7" xfId="1601" xr:uid="{00000000-0005-0000-0000-0000AB0C0000}"/>
    <cellStyle name="計算方式 2 3 7 2" xfId="3474" xr:uid="{00000000-0005-0000-0000-0000AC0C0000}"/>
    <cellStyle name="計算方式 2 3 8" xfId="1602" xr:uid="{00000000-0005-0000-0000-0000AD0C0000}"/>
    <cellStyle name="計算方式 2 3 8 2" xfId="3475" xr:uid="{00000000-0005-0000-0000-0000AE0C0000}"/>
    <cellStyle name="計算方式 2 3 9" xfId="1603" xr:uid="{00000000-0005-0000-0000-0000AF0C0000}"/>
    <cellStyle name="計算方式 2 3 9 2" xfId="3476" xr:uid="{00000000-0005-0000-0000-0000B00C0000}"/>
    <cellStyle name="計算方式 2 4" xfId="3450" xr:uid="{00000000-0005-0000-0000-0000B10C0000}"/>
    <cellStyle name="計算方式 3" xfId="1604" xr:uid="{00000000-0005-0000-0000-0000B20C0000}"/>
    <cellStyle name="計算方式 3 2" xfId="1605" xr:uid="{00000000-0005-0000-0000-0000B30C0000}"/>
    <cellStyle name="計算方式 3 2 10" xfId="1606" xr:uid="{00000000-0005-0000-0000-0000B40C0000}"/>
    <cellStyle name="計算方式 3 2 10 2" xfId="3479" xr:uid="{00000000-0005-0000-0000-0000B50C0000}"/>
    <cellStyle name="計算方式 3 2 11" xfId="1607" xr:uid="{00000000-0005-0000-0000-0000B60C0000}"/>
    <cellStyle name="計算方式 3 2 11 2" xfId="3480" xr:uid="{00000000-0005-0000-0000-0000B70C0000}"/>
    <cellStyle name="計算方式 3 2 12" xfId="1608" xr:uid="{00000000-0005-0000-0000-0000B80C0000}"/>
    <cellStyle name="計算方式 3 2 12 2" xfId="3481" xr:uid="{00000000-0005-0000-0000-0000B90C0000}"/>
    <cellStyle name="計算方式 3 2 13" xfId="1609" xr:uid="{00000000-0005-0000-0000-0000BA0C0000}"/>
    <cellStyle name="計算方式 3 2 13 2" xfId="3482" xr:uid="{00000000-0005-0000-0000-0000BB0C0000}"/>
    <cellStyle name="計算方式 3 2 14" xfId="3478" xr:uid="{00000000-0005-0000-0000-0000BC0C0000}"/>
    <cellStyle name="計算方式 3 2 2" xfId="1610" xr:uid="{00000000-0005-0000-0000-0000BD0C0000}"/>
    <cellStyle name="計算方式 3 2 2 2" xfId="3483" xr:uid="{00000000-0005-0000-0000-0000BE0C0000}"/>
    <cellStyle name="計算方式 3 2 3" xfId="1611" xr:uid="{00000000-0005-0000-0000-0000BF0C0000}"/>
    <cellStyle name="計算方式 3 2 3 2" xfId="3484" xr:uid="{00000000-0005-0000-0000-0000C00C0000}"/>
    <cellStyle name="計算方式 3 2 4" xfId="1612" xr:uid="{00000000-0005-0000-0000-0000C10C0000}"/>
    <cellStyle name="計算方式 3 2 4 2" xfId="3485" xr:uid="{00000000-0005-0000-0000-0000C20C0000}"/>
    <cellStyle name="計算方式 3 2 5" xfId="1613" xr:uid="{00000000-0005-0000-0000-0000C30C0000}"/>
    <cellStyle name="計算方式 3 2 5 2" xfId="3486" xr:uid="{00000000-0005-0000-0000-0000C40C0000}"/>
    <cellStyle name="計算方式 3 2 6" xfId="1614" xr:uid="{00000000-0005-0000-0000-0000C50C0000}"/>
    <cellStyle name="計算方式 3 2 6 2" xfId="3487" xr:uid="{00000000-0005-0000-0000-0000C60C0000}"/>
    <cellStyle name="計算方式 3 2 7" xfId="1615" xr:uid="{00000000-0005-0000-0000-0000C70C0000}"/>
    <cellStyle name="計算方式 3 2 7 2" xfId="3488" xr:uid="{00000000-0005-0000-0000-0000C80C0000}"/>
    <cellStyle name="計算方式 3 2 8" xfId="1616" xr:uid="{00000000-0005-0000-0000-0000C90C0000}"/>
    <cellStyle name="計算方式 3 2 8 2" xfId="3489" xr:uid="{00000000-0005-0000-0000-0000CA0C0000}"/>
    <cellStyle name="計算方式 3 2 9" xfId="1617" xr:uid="{00000000-0005-0000-0000-0000CB0C0000}"/>
    <cellStyle name="計算方式 3 2 9 2" xfId="3490" xr:uid="{00000000-0005-0000-0000-0000CC0C0000}"/>
    <cellStyle name="計算方式 3 3" xfId="1618" xr:uid="{00000000-0005-0000-0000-0000CD0C0000}"/>
    <cellStyle name="計算方式 3 3 10" xfId="1619" xr:uid="{00000000-0005-0000-0000-0000CE0C0000}"/>
    <cellStyle name="計算方式 3 3 10 2" xfId="3492" xr:uid="{00000000-0005-0000-0000-0000CF0C0000}"/>
    <cellStyle name="計算方式 3 3 11" xfId="1620" xr:uid="{00000000-0005-0000-0000-0000D00C0000}"/>
    <cellStyle name="計算方式 3 3 11 2" xfId="3493" xr:uid="{00000000-0005-0000-0000-0000D10C0000}"/>
    <cellStyle name="計算方式 3 3 12" xfId="1621" xr:uid="{00000000-0005-0000-0000-0000D20C0000}"/>
    <cellStyle name="計算方式 3 3 12 2" xfId="3494" xr:uid="{00000000-0005-0000-0000-0000D30C0000}"/>
    <cellStyle name="計算方式 3 3 13" xfId="1622" xr:uid="{00000000-0005-0000-0000-0000D40C0000}"/>
    <cellStyle name="計算方式 3 3 13 2" xfId="3495" xr:uid="{00000000-0005-0000-0000-0000D50C0000}"/>
    <cellStyle name="計算方式 3 3 14" xfId="3491" xr:uid="{00000000-0005-0000-0000-0000D60C0000}"/>
    <cellStyle name="計算方式 3 3 2" xfId="1623" xr:uid="{00000000-0005-0000-0000-0000D70C0000}"/>
    <cellStyle name="計算方式 3 3 2 2" xfId="3496" xr:uid="{00000000-0005-0000-0000-0000D80C0000}"/>
    <cellStyle name="計算方式 3 3 3" xfId="1624" xr:uid="{00000000-0005-0000-0000-0000D90C0000}"/>
    <cellStyle name="計算方式 3 3 3 2" xfId="3497" xr:uid="{00000000-0005-0000-0000-0000DA0C0000}"/>
    <cellStyle name="計算方式 3 3 4" xfId="1625" xr:uid="{00000000-0005-0000-0000-0000DB0C0000}"/>
    <cellStyle name="計算方式 3 3 4 2" xfId="3498" xr:uid="{00000000-0005-0000-0000-0000DC0C0000}"/>
    <cellStyle name="計算方式 3 3 5" xfId="1626" xr:uid="{00000000-0005-0000-0000-0000DD0C0000}"/>
    <cellStyle name="計算方式 3 3 5 2" xfId="3499" xr:uid="{00000000-0005-0000-0000-0000DE0C0000}"/>
    <cellStyle name="計算方式 3 3 6" xfId="1627" xr:uid="{00000000-0005-0000-0000-0000DF0C0000}"/>
    <cellStyle name="計算方式 3 3 6 2" xfId="3500" xr:uid="{00000000-0005-0000-0000-0000E00C0000}"/>
    <cellStyle name="計算方式 3 3 7" xfId="1628" xr:uid="{00000000-0005-0000-0000-0000E10C0000}"/>
    <cellStyle name="計算方式 3 3 7 2" xfId="3501" xr:uid="{00000000-0005-0000-0000-0000E20C0000}"/>
    <cellStyle name="計算方式 3 3 8" xfId="1629" xr:uid="{00000000-0005-0000-0000-0000E30C0000}"/>
    <cellStyle name="計算方式 3 3 8 2" xfId="3502" xr:uid="{00000000-0005-0000-0000-0000E40C0000}"/>
    <cellStyle name="計算方式 3 3 9" xfId="1630" xr:uid="{00000000-0005-0000-0000-0000E50C0000}"/>
    <cellStyle name="計算方式 3 3 9 2" xfId="3503" xr:uid="{00000000-0005-0000-0000-0000E60C0000}"/>
    <cellStyle name="計算方式 3 4" xfId="3477" xr:uid="{00000000-0005-0000-0000-0000E70C0000}"/>
    <cellStyle name="差" xfId="1631" xr:uid="{00000000-0005-0000-0000-0000E80C0000}"/>
    <cellStyle name="差 2" xfId="1632" xr:uid="{00000000-0005-0000-0000-0000E90C0000}"/>
    <cellStyle name="差 3" xfId="1633" xr:uid="{00000000-0005-0000-0000-0000EA0C0000}"/>
    <cellStyle name="差_KIL11200-FTS-MC-IP17 (Final)" xfId="1634" xr:uid="{00000000-0005-0000-0000-0000EB0C0000}"/>
    <cellStyle name="差_KIL11200-FTS-MC-IP17 (Final) 2" xfId="1635" xr:uid="{00000000-0005-0000-0000-0000EC0C0000}"/>
    <cellStyle name="差_KIL11200-FTS-MC-IP17 (Final) 3" xfId="1636" xr:uid="{00000000-0005-0000-0000-0000ED0C0000}"/>
    <cellStyle name="适中" xfId="1637" xr:uid="{00000000-0005-0000-0000-0000EE0C0000}"/>
    <cellStyle name="适中 2" xfId="1638" xr:uid="{00000000-0005-0000-0000-0000EF0C0000}"/>
    <cellStyle name="适中 3" xfId="1639" xr:uid="{00000000-0005-0000-0000-0000F00C0000}"/>
    <cellStyle name="常规 2" xfId="1640" xr:uid="{00000000-0005-0000-0000-0000F10C0000}"/>
    <cellStyle name="常规 2 2" xfId="1641" xr:uid="{00000000-0005-0000-0000-0000F20C0000}"/>
    <cellStyle name="常规_AI048" xfId="1642" xr:uid="{00000000-0005-0000-0000-0000F30C0000}"/>
    <cellStyle name="检查单元格" xfId="2148" xr:uid="{00000000-0005-0000-0000-0000F40C0000}"/>
    <cellStyle name="检查单元格 2" xfId="2149" xr:uid="{00000000-0005-0000-0000-0000F50C0000}"/>
    <cellStyle name="检查单元格 3" xfId="2150" xr:uid="{00000000-0005-0000-0000-0000F60C0000}"/>
    <cellStyle name="貨幣" xfId="6" builtinId="4"/>
    <cellStyle name="貨幣 [0]n⸳" xfId="1643" xr:uid="{00000000-0005-0000-0000-0000F80C0000}"/>
    <cellStyle name="貨幣 [0]n⸳ 2" xfId="1644" xr:uid="{00000000-0005-0000-0000-0000F90C0000}"/>
    <cellStyle name="貨幣 [0]n⸳ 2 2" xfId="1645" xr:uid="{00000000-0005-0000-0000-0000FA0C0000}"/>
    <cellStyle name="貨幣 [0]n⸳ 2 3" xfId="1646" xr:uid="{00000000-0005-0000-0000-0000FB0C0000}"/>
    <cellStyle name="貨幣 [0]n⸳ 3" xfId="1647" xr:uid="{00000000-0005-0000-0000-0000FC0C0000}"/>
    <cellStyle name="貨幣 [0]n⸳ 4" xfId="1648" xr:uid="{00000000-0005-0000-0000-0000FD0C0000}"/>
    <cellStyle name="貨幣 10" xfId="1649" xr:uid="{00000000-0005-0000-0000-0000FE0C0000}"/>
    <cellStyle name="貨幣 11" xfId="1650" xr:uid="{00000000-0005-0000-0000-0000FF0C0000}"/>
    <cellStyle name="貨幣 12" xfId="1651" xr:uid="{00000000-0005-0000-0000-0000000D0000}"/>
    <cellStyle name="貨幣 13" xfId="1652" xr:uid="{00000000-0005-0000-0000-0000010D0000}"/>
    <cellStyle name="貨幣 14" xfId="1653" xr:uid="{00000000-0005-0000-0000-0000020D0000}"/>
    <cellStyle name="貨幣 15" xfId="1654" xr:uid="{00000000-0005-0000-0000-0000030D0000}"/>
    <cellStyle name="貨幣 16" xfId="1655" xr:uid="{00000000-0005-0000-0000-0000040D0000}"/>
    <cellStyle name="貨幣 2" xfId="1656" xr:uid="{00000000-0005-0000-0000-0000050D0000}"/>
    <cellStyle name="貨幣 2 2" xfId="1657" xr:uid="{00000000-0005-0000-0000-0000060D0000}"/>
    <cellStyle name="貨幣 2 2 2" xfId="1658" xr:uid="{00000000-0005-0000-0000-0000070D0000}"/>
    <cellStyle name="貨幣 2 3" xfId="1659" xr:uid="{00000000-0005-0000-0000-0000080D0000}"/>
    <cellStyle name="貨幣 2 4" xfId="1660" xr:uid="{00000000-0005-0000-0000-0000090D0000}"/>
    <cellStyle name="貨幣 2_IP 29(WTP)" xfId="1661" xr:uid="{00000000-0005-0000-0000-00000A0D0000}"/>
    <cellStyle name="貨幣 3" xfId="1662" xr:uid="{00000000-0005-0000-0000-00000B0D0000}"/>
    <cellStyle name="貨幣 4" xfId="1663" xr:uid="{00000000-0005-0000-0000-00000C0D0000}"/>
    <cellStyle name="貨幣 5" xfId="1664" xr:uid="{00000000-0005-0000-0000-00000D0D0000}"/>
    <cellStyle name="貨幣 6" xfId="1665" xr:uid="{00000000-0005-0000-0000-00000E0D0000}"/>
    <cellStyle name="貨幣 7" xfId="1666" xr:uid="{00000000-0005-0000-0000-00000F0D0000}"/>
    <cellStyle name="貨幣 8" xfId="1667" xr:uid="{00000000-0005-0000-0000-0000100D0000}"/>
    <cellStyle name="貨幣 9" xfId="1668" xr:uid="{00000000-0005-0000-0000-0000110D0000}"/>
    <cellStyle name="貨幣[0]_123" xfId="1669" xr:uid="{00000000-0005-0000-0000-0000120D0000}"/>
    <cellStyle name="連結的儲存格 2" xfId="1670" xr:uid="{00000000-0005-0000-0000-0000130D0000}"/>
    <cellStyle name="連結的儲存格 3" xfId="1671" xr:uid="{00000000-0005-0000-0000-0000140D0000}"/>
    <cellStyle name="備註 2" xfId="1672" xr:uid="{00000000-0005-0000-0000-0000150D0000}"/>
    <cellStyle name="備註 2 2" xfId="1673" xr:uid="{00000000-0005-0000-0000-0000160D0000}"/>
    <cellStyle name="備註 2 2 10" xfId="1674" xr:uid="{00000000-0005-0000-0000-0000170D0000}"/>
    <cellStyle name="備註 2 2 10 2" xfId="2525" xr:uid="{00000000-0005-0000-0000-0000180D0000}"/>
    <cellStyle name="備註 2 2 10 2 2" xfId="4115" xr:uid="{00000000-0005-0000-0000-0000190D0000}"/>
    <cellStyle name="備註 2 2 10 3" xfId="3506" xr:uid="{00000000-0005-0000-0000-00001A0D0000}"/>
    <cellStyle name="備註 2 2 11" xfId="1675" xr:uid="{00000000-0005-0000-0000-00001B0D0000}"/>
    <cellStyle name="備註 2 2 11 2" xfId="2526" xr:uid="{00000000-0005-0000-0000-00001C0D0000}"/>
    <cellStyle name="備註 2 2 11 2 2" xfId="4116" xr:uid="{00000000-0005-0000-0000-00001D0D0000}"/>
    <cellStyle name="備註 2 2 11 3" xfId="3507" xr:uid="{00000000-0005-0000-0000-00001E0D0000}"/>
    <cellStyle name="備註 2 2 12" xfId="1676" xr:uid="{00000000-0005-0000-0000-00001F0D0000}"/>
    <cellStyle name="備註 2 2 12 2" xfId="2527" xr:uid="{00000000-0005-0000-0000-0000200D0000}"/>
    <cellStyle name="備註 2 2 12 2 2" xfId="4117" xr:uid="{00000000-0005-0000-0000-0000210D0000}"/>
    <cellStyle name="備註 2 2 12 3" xfId="3508" xr:uid="{00000000-0005-0000-0000-0000220D0000}"/>
    <cellStyle name="備註 2 2 13" xfId="1677" xr:uid="{00000000-0005-0000-0000-0000230D0000}"/>
    <cellStyle name="備註 2 2 13 2" xfId="2528" xr:uid="{00000000-0005-0000-0000-0000240D0000}"/>
    <cellStyle name="備註 2 2 13 2 2" xfId="4118" xr:uid="{00000000-0005-0000-0000-0000250D0000}"/>
    <cellStyle name="備註 2 2 13 3" xfId="3509" xr:uid="{00000000-0005-0000-0000-0000260D0000}"/>
    <cellStyle name="備註 2 2 14" xfId="2524" xr:uid="{00000000-0005-0000-0000-0000270D0000}"/>
    <cellStyle name="備註 2 2 14 2" xfId="4114" xr:uid="{00000000-0005-0000-0000-0000280D0000}"/>
    <cellStyle name="備註 2 2 15" xfId="3505" xr:uid="{00000000-0005-0000-0000-0000290D0000}"/>
    <cellStyle name="備註 2 2 2" xfId="1678" xr:uid="{00000000-0005-0000-0000-00002A0D0000}"/>
    <cellStyle name="備註 2 2 2 2" xfId="2529" xr:uid="{00000000-0005-0000-0000-00002B0D0000}"/>
    <cellStyle name="備註 2 2 2 2 2" xfId="4119" xr:uid="{00000000-0005-0000-0000-00002C0D0000}"/>
    <cellStyle name="備註 2 2 2 3" xfId="3510" xr:uid="{00000000-0005-0000-0000-00002D0D0000}"/>
    <cellStyle name="備註 2 2 3" xfId="1679" xr:uid="{00000000-0005-0000-0000-00002E0D0000}"/>
    <cellStyle name="備註 2 2 3 2" xfId="2530" xr:uid="{00000000-0005-0000-0000-00002F0D0000}"/>
    <cellStyle name="備註 2 2 3 2 2" xfId="4120" xr:uid="{00000000-0005-0000-0000-0000300D0000}"/>
    <cellStyle name="備註 2 2 3 3" xfId="3511" xr:uid="{00000000-0005-0000-0000-0000310D0000}"/>
    <cellStyle name="備註 2 2 4" xfId="1680" xr:uid="{00000000-0005-0000-0000-0000320D0000}"/>
    <cellStyle name="備註 2 2 4 2" xfId="2531" xr:uid="{00000000-0005-0000-0000-0000330D0000}"/>
    <cellStyle name="備註 2 2 4 2 2" xfId="4121" xr:uid="{00000000-0005-0000-0000-0000340D0000}"/>
    <cellStyle name="備註 2 2 4 3" xfId="3512" xr:uid="{00000000-0005-0000-0000-0000350D0000}"/>
    <cellStyle name="備註 2 2 5" xfId="1681" xr:uid="{00000000-0005-0000-0000-0000360D0000}"/>
    <cellStyle name="備註 2 2 5 2" xfId="2532" xr:uid="{00000000-0005-0000-0000-0000370D0000}"/>
    <cellStyle name="備註 2 2 5 2 2" xfId="4122" xr:uid="{00000000-0005-0000-0000-0000380D0000}"/>
    <cellStyle name="備註 2 2 5 3" xfId="3513" xr:uid="{00000000-0005-0000-0000-0000390D0000}"/>
    <cellStyle name="備註 2 2 6" xfId="1682" xr:uid="{00000000-0005-0000-0000-00003A0D0000}"/>
    <cellStyle name="備註 2 2 6 2" xfId="2533" xr:uid="{00000000-0005-0000-0000-00003B0D0000}"/>
    <cellStyle name="備註 2 2 6 2 2" xfId="4123" xr:uid="{00000000-0005-0000-0000-00003C0D0000}"/>
    <cellStyle name="備註 2 2 6 3" xfId="3514" xr:uid="{00000000-0005-0000-0000-00003D0D0000}"/>
    <cellStyle name="備註 2 2 7" xfId="1683" xr:uid="{00000000-0005-0000-0000-00003E0D0000}"/>
    <cellStyle name="備註 2 2 7 2" xfId="2534" xr:uid="{00000000-0005-0000-0000-00003F0D0000}"/>
    <cellStyle name="備註 2 2 7 2 2" xfId="4124" xr:uid="{00000000-0005-0000-0000-0000400D0000}"/>
    <cellStyle name="備註 2 2 7 3" xfId="3515" xr:uid="{00000000-0005-0000-0000-0000410D0000}"/>
    <cellStyle name="備註 2 2 8" xfId="1684" xr:uid="{00000000-0005-0000-0000-0000420D0000}"/>
    <cellStyle name="備註 2 2 8 2" xfId="2535" xr:uid="{00000000-0005-0000-0000-0000430D0000}"/>
    <cellStyle name="備註 2 2 8 2 2" xfId="4125" xr:uid="{00000000-0005-0000-0000-0000440D0000}"/>
    <cellStyle name="備註 2 2 8 3" xfId="3516" xr:uid="{00000000-0005-0000-0000-0000450D0000}"/>
    <cellStyle name="備註 2 2 9" xfId="1685" xr:uid="{00000000-0005-0000-0000-0000460D0000}"/>
    <cellStyle name="備註 2 2 9 2" xfId="2536" xr:uid="{00000000-0005-0000-0000-0000470D0000}"/>
    <cellStyle name="備註 2 2 9 2 2" xfId="4126" xr:uid="{00000000-0005-0000-0000-0000480D0000}"/>
    <cellStyle name="備註 2 2 9 3" xfId="3517" xr:uid="{00000000-0005-0000-0000-0000490D0000}"/>
    <cellStyle name="備註 2 3" xfId="1686" xr:uid="{00000000-0005-0000-0000-00004A0D0000}"/>
    <cellStyle name="備註 2 3 2" xfId="2537" xr:uid="{00000000-0005-0000-0000-00004B0D0000}"/>
    <cellStyle name="備註 2 3 2 2" xfId="4127" xr:uid="{00000000-0005-0000-0000-00004C0D0000}"/>
    <cellStyle name="備註 2 3 3" xfId="3518" xr:uid="{00000000-0005-0000-0000-00004D0D0000}"/>
    <cellStyle name="備註 2 4" xfId="2523" xr:uid="{00000000-0005-0000-0000-00004E0D0000}"/>
    <cellStyle name="備註 2 4 2" xfId="4113" xr:uid="{00000000-0005-0000-0000-00004F0D0000}"/>
    <cellStyle name="備註 2 5" xfId="3504" xr:uid="{00000000-0005-0000-0000-0000500D0000}"/>
    <cellStyle name="備註 3" xfId="1687" xr:uid="{00000000-0005-0000-0000-0000510D0000}"/>
    <cellStyle name="備註 3 2" xfId="1688" xr:uid="{00000000-0005-0000-0000-0000520D0000}"/>
    <cellStyle name="備註 3 2 10" xfId="1689" xr:uid="{00000000-0005-0000-0000-0000530D0000}"/>
    <cellStyle name="備註 3 2 10 2" xfId="2540" xr:uid="{00000000-0005-0000-0000-0000540D0000}"/>
    <cellStyle name="備註 3 2 10 2 2" xfId="4130" xr:uid="{00000000-0005-0000-0000-0000550D0000}"/>
    <cellStyle name="備註 3 2 10 3" xfId="3521" xr:uid="{00000000-0005-0000-0000-0000560D0000}"/>
    <cellStyle name="備註 3 2 11" xfId="1690" xr:uid="{00000000-0005-0000-0000-0000570D0000}"/>
    <cellStyle name="備註 3 2 11 2" xfId="2541" xr:uid="{00000000-0005-0000-0000-0000580D0000}"/>
    <cellStyle name="備註 3 2 11 2 2" xfId="4131" xr:uid="{00000000-0005-0000-0000-0000590D0000}"/>
    <cellStyle name="備註 3 2 11 3" xfId="3522" xr:uid="{00000000-0005-0000-0000-00005A0D0000}"/>
    <cellStyle name="備註 3 2 12" xfId="1691" xr:uid="{00000000-0005-0000-0000-00005B0D0000}"/>
    <cellStyle name="備註 3 2 12 2" xfId="2542" xr:uid="{00000000-0005-0000-0000-00005C0D0000}"/>
    <cellStyle name="備註 3 2 12 2 2" xfId="4132" xr:uid="{00000000-0005-0000-0000-00005D0D0000}"/>
    <cellStyle name="備註 3 2 12 3" xfId="3523" xr:uid="{00000000-0005-0000-0000-00005E0D0000}"/>
    <cellStyle name="備註 3 2 13" xfId="1692" xr:uid="{00000000-0005-0000-0000-00005F0D0000}"/>
    <cellStyle name="備註 3 2 13 2" xfId="2543" xr:uid="{00000000-0005-0000-0000-0000600D0000}"/>
    <cellStyle name="備註 3 2 13 2 2" xfId="4133" xr:uid="{00000000-0005-0000-0000-0000610D0000}"/>
    <cellStyle name="備註 3 2 13 3" xfId="3524" xr:uid="{00000000-0005-0000-0000-0000620D0000}"/>
    <cellStyle name="備註 3 2 14" xfId="2539" xr:uid="{00000000-0005-0000-0000-0000630D0000}"/>
    <cellStyle name="備註 3 2 14 2" xfId="4129" xr:uid="{00000000-0005-0000-0000-0000640D0000}"/>
    <cellStyle name="備註 3 2 15" xfId="3520" xr:uid="{00000000-0005-0000-0000-0000650D0000}"/>
    <cellStyle name="備註 3 2 2" xfId="1693" xr:uid="{00000000-0005-0000-0000-0000660D0000}"/>
    <cellStyle name="備註 3 2 2 2" xfId="2544" xr:uid="{00000000-0005-0000-0000-0000670D0000}"/>
    <cellStyle name="備註 3 2 2 2 2" xfId="4134" xr:uid="{00000000-0005-0000-0000-0000680D0000}"/>
    <cellStyle name="備註 3 2 2 3" xfId="3525" xr:uid="{00000000-0005-0000-0000-0000690D0000}"/>
    <cellStyle name="備註 3 2 3" xfId="1694" xr:uid="{00000000-0005-0000-0000-00006A0D0000}"/>
    <cellStyle name="備註 3 2 3 2" xfId="2545" xr:uid="{00000000-0005-0000-0000-00006B0D0000}"/>
    <cellStyle name="備註 3 2 3 2 2" xfId="4135" xr:uid="{00000000-0005-0000-0000-00006C0D0000}"/>
    <cellStyle name="備註 3 2 3 3" xfId="3526" xr:uid="{00000000-0005-0000-0000-00006D0D0000}"/>
    <cellStyle name="備註 3 2 4" xfId="1695" xr:uid="{00000000-0005-0000-0000-00006E0D0000}"/>
    <cellStyle name="備註 3 2 4 2" xfId="2546" xr:uid="{00000000-0005-0000-0000-00006F0D0000}"/>
    <cellStyle name="備註 3 2 4 2 2" xfId="4136" xr:uid="{00000000-0005-0000-0000-0000700D0000}"/>
    <cellStyle name="備註 3 2 4 3" xfId="3527" xr:uid="{00000000-0005-0000-0000-0000710D0000}"/>
    <cellStyle name="備註 3 2 5" xfId="1696" xr:uid="{00000000-0005-0000-0000-0000720D0000}"/>
    <cellStyle name="備註 3 2 5 2" xfId="2547" xr:uid="{00000000-0005-0000-0000-0000730D0000}"/>
    <cellStyle name="備註 3 2 5 2 2" xfId="4137" xr:uid="{00000000-0005-0000-0000-0000740D0000}"/>
    <cellStyle name="備註 3 2 5 3" xfId="3528" xr:uid="{00000000-0005-0000-0000-0000750D0000}"/>
    <cellStyle name="備註 3 2 6" xfId="1697" xr:uid="{00000000-0005-0000-0000-0000760D0000}"/>
    <cellStyle name="備註 3 2 6 2" xfId="2548" xr:uid="{00000000-0005-0000-0000-0000770D0000}"/>
    <cellStyle name="備註 3 2 6 2 2" xfId="4138" xr:uid="{00000000-0005-0000-0000-0000780D0000}"/>
    <cellStyle name="備註 3 2 6 3" xfId="3529" xr:uid="{00000000-0005-0000-0000-0000790D0000}"/>
    <cellStyle name="備註 3 2 7" xfId="1698" xr:uid="{00000000-0005-0000-0000-00007A0D0000}"/>
    <cellStyle name="備註 3 2 7 2" xfId="2549" xr:uid="{00000000-0005-0000-0000-00007B0D0000}"/>
    <cellStyle name="備註 3 2 7 2 2" xfId="4139" xr:uid="{00000000-0005-0000-0000-00007C0D0000}"/>
    <cellStyle name="備註 3 2 7 3" xfId="3530" xr:uid="{00000000-0005-0000-0000-00007D0D0000}"/>
    <cellStyle name="備註 3 2 8" xfId="1699" xr:uid="{00000000-0005-0000-0000-00007E0D0000}"/>
    <cellStyle name="備註 3 2 8 2" xfId="2550" xr:uid="{00000000-0005-0000-0000-00007F0D0000}"/>
    <cellStyle name="備註 3 2 8 2 2" xfId="4140" xr:uid="{00000000-0005-0000-0000-0000800D0000}"/>
    <cellStyle name="備註 3 2 8 3" xfId="3531" xr:uid="{00000000-0005-0000-0000-0000810D0000}"/>
    <cellStyle name="備註 3 2 9" xfId="1700" xr:uid="{00000000-0005-0000-0000-0000820D0000}"/>
    <cellStyle name="備註 3 2 9 2" xfId="2551" xr:uid="{00000000-0005-0000-0000-0000830D0000}"/>
    <cellStyle name="備註 3 2 9 2 2" xfId="4141" xr:uid="{00000000-0005-0000-0000-0000840D0000}"/>
    <cellStyle name="備註 3 2 9 3" xfId="3532" xr:uid="{00000000-0005-0000-0000-0000850D0000}"/>
    <cellStyle name="備註 3 3" xfId="1701" xr:uid="{00000000-0005-0000-0000-0000860D0000}"/>
    <cellStyle name="備註 3 3 2" xfId="2552" xr:uid="{00000000-0005-0000-0000-0000870D0000}"/>
    <cellStyle name="備註 3 3 2 2" xfId="4142" xr:uid="{00000000-0005-0000-0000-0000880D0000}"/>
    <cellStyle name="備註 3 3 3" xfId="3533" xr:uid="{00000000-0005-0000-0000-0000890D0000}"/>
    <cellStyle name="備註 3 4" xfId="2538" xr:uid="{00000000-0005-0000-0000-00008A0D0000}"/>
    <cellStyle name="備註 3 4 2" xfId="4128" xr:uid="{00000000-0005-0000-0000-00008B0D0000}"/>
    <cellStyle name="備註 3 5" xfId="3519" xr:uid="{00000000-0005-0000-0000-00008C0D0000}"/>
    <cellStyle name="强调文字颜色 1" xfId="1702" xr:uid="{00000000-0005-0000-0000-00008D0D0000}"/>
    <cellStyle name="强调文字颜色 1 2" xfId="1703" xr:uid="{00000000-0005-0000-0000-00008E0D0000}"/>
    <cellStyle name="强调文字颜色 1 3" xfId="1704" xr:uid="{00000000-0005-0000-0000-00008F0D0000}"/>
    <cellStyle name="强调文字颜色 2" xfId="1705" xr:uid="{00000000-0005-0000-0000-0000900D0000}"/>
    <cellStyle name="强调文字颜色 2 2" xfId="1706" xr:uid="{00000000-0005-0000-0000-0000910D0000}"/>
    <cellStyle name="强调文字颜色 2 3" xfId="1707" xr:uid="{00000000-0005-0000-0000-0000920D0000}"/>
    <cellStyle name="强调文字颜色 3" xfId="1708" xr:uid="{00000000-0005-0000-0000-0000930D0000}"/>
    <cellStyle name="强调文字颜色 3 2" xfId="1709" xr:uid="{00000000-0005-0000-0000-0000940D0000}"/>
    <cellStyle name="强调文字颜色 3 3" xfId="1710" xr:uid="{00000000-0005-0000-0000-0000950D0000}"/>
    <cellStyle name="强调文字颜色 4" xfId="1711" xr:uid="{00000000-0005-0000-0000-0000960D0000}"/>
    <cellStyle name="强调文字颜色 4 2" xfId="1712" xr:uid="{00000000-0005-0000-0000-0000970D0000}"/>
    <cellStyle name="强调文字颜色 4 3" xfId="1713" xr:uid="{00000000-0005-0000-0000-0000980D0000}"/>
    <cellStyle name="强调文字颜色 5" xfId="1714" xr:uid="{00000000-0005-0000-0000-0000990D0000}"/>
    <cellStyle name="强调文字颜色 5 2" xfId="1715" xr:uid="{00000000-0005-0000-0000-00009A0D0000}"/>
    <cellStyle name="强调文字颜色 5 3" xfId="1716" xr:uid="{00000000-0005-0000-0000-00009B0D0000}"/>
    <cellStyle name="强调文字颜色 6" xfId="1717" xr:uid="{00000000-0005-0000-0000-00009C0D0000}"/>
    <cellStyle name="强调文字颜色 6 2" xfId="1718" xr:uid="{00000000-0005-0000-0000-00009D0D0000}"/>
    <cellStyle name="强调文字颜色 6 3" xfId="1719" xr:uid="{00000000-0005-0000-0000-00009E0D0000}"/>
    <cellStyle name="普通_DOOR D(SUMMARY) (F版)" xfId="1720" xr:uid="{00000000-0005-0000-0000-00009F0D0000}"/>
    <cellStyle name="超連結" xfId="7" builtinId="8"/>
    <cellStyle name="超連結 2" xfId="1721" xr:uid="{00000000-0005-0000-0000-0000A10D0000}"/>
    <cellStyle name="超連結 2 2" xfId="1722" xr:uid="{00000000-0005-0000-0000-0000A20D0000}"/>
    <cellStyle name="超連結 2 2 2" xfId="1723" xr:uid="{00000000-0005-0000-0000-0000A30D0000}"/>
    <cellStyle name="超連結 2 3" xfId="1724" xr:uid="{00000000-0005-0000-0000-0000A40D0000}"/>
    <cellStyle name="超連結 3" xfId="1725" xr:uid="{00000000-0005-0000-0000-0000A50D0000}"/>
    <cellStyle name="超連結 3 2" xfId="1726" xr:uid="{00000000-0005-0000-0000-0000A60D0000}"/>
    <cellStyle name="超連結_x000d_" xfId="1727" xr:uid="{00000000-0005-0000-0000-0000A70D0000}"/>
    <cellStyle name="超連結_x000d_ 2" xfId="1728" xr:uid="{00000000-0005-0000-0000-0000A80D0000}"/>
    <cellStyle name="超連結mal" xfId="1729" xr:uid="{00000000-0005-0000-0000-0000A90D0000}"/>
    <cellStyle name="超連結mal 2" xfId="1730" xr:uid="{00000000-0005-0000-0000-0000AA0D0000}"/>
    <cellStyle name="链接单元格" xfId="2277" xr:uid="{00000000-0005-0000-0000-0000AB0D0000}"/>
    <cellStyle name="链接单元格 2" xfId="2278" xr:uid="{00000000-0005-0000-0000-0000AC0D0000}"/>
    <cellStyle name="链接单元格 3" xfId="2279" xr:uid="{00000000-0005-0000-0000-0000AD0D0000}"/>
    <cellStyle name="解释性文本" xfId="1731" xr:uid="{00000000-0005-0000-0000-0000AE0D0000}"/>
    <cellStyle name="解释性文本 2" xfId="1732" xr:uid="{00000000-0005-0000-0000-0000AF0D0000}"/>
    <cellStyle name="解释性文本 3" xfId="1733" xr:uid="{00000000-0005-0000-0000-0000B00D0000}"/>
    <cellStyle name="資料助理  角" xfId="1734" xr:uid="{00000000-0005-0000-0000-0000B10D0000}"/>
    <cellStyle name="資料助理  角 2" xfId="1735" xr:uid="{00000000-0005-0000-0000-0000B20D0000}"/>
    <cellStyle name="資料助理  角 2 2" xfId="1736" xr:uid="{00000000-0005-0000-0000-0000B30D0000}"/>
    <cellStyle name="資料助理  角 2 3" xfId="1737" xr:uid="{00000000-0005-0000-0000-0000B40D0000}"/>
    <cellStyle name="資料助理  角 3" xfId="1738" xr:uid="{00000000-0005-0000-0000-0000B50D0000}"/>
    <cellStyle name="資料助理  角 4" xfId="1739" xr:uid="{00000000-0005-0000-0000-0000B60D0000}"/>
    <cellStyle name="資料助理 分類" xfId="1740" xr:uid="{00000000-0005-0000-0000-0000B70D0000}"/>
    <cellStyle name="資料助理 分類 2" xfId="1741" xr:uid="{00000000-0005-0000-0000-0000B80D0000}"/>
    <cellStyle name="資料助理 分類 2 2" xfId="1742" xr:uid="{00000000-0005-0000-0000-0000B90D0000}"/>
    <cellStyle name="資料助理 分類 2 3" xfId="1743" xr:uid="{00000000-0005-0000-0000-0000BA0D0000}"/>
    <cellStyle name="資料助理 分類 3" xfId="1744" xr:uid="{00000000-0005-0000-0000-0000BB0D0000}"/>
    <cellStyle name="資料助理 分類 4" xfId="1745" xr:uid="{00000000-0005-0000-0000-0000BC0D0000}"/>
    <cellStyle name="資料助理工作表結果" xfId="1746" xr:uid="{00000000-0005-0000-0000-0000BD0D0000}"/>
    <cellStyle name="資料助理工作表結果 2" xfId="1747" xr:uid="{00000000-0005-0000-0000-0000BE0D0000}"/>
    <cellStyle name="資料助理工作表結果 2 2" xfId="1748" xr:uid="{00000000-0005-0000-0000-0000BF0D0000}"/>
    <cellStyle name="資料助理工作表結果 2 3" xfId="1749" xr:uid="{00000000-0005-0000-0000-0000C00D0000}"/>
    <cellStyle name="資料助理工作表結果 3" xfId="1750" xr:uid="{00000000-0005-0000-0000-0000C10D0000}"/>
    <cellStyle name="資料助理工作表結果 4" xfId="1751" xr:uid="{00000000-0005-0000-0000-0000C20D0000}"/>
    <cellStyle name="資料助理工作表數值" xfId="1752" xr:uid="{00000000-0005-0000-0000-0000C30D0000}"/>
    <cellStyle name="資料助理工作表數值 2" xfId="1753" xr:uid="{00000000-0005-0000-0000-0000C40D0000}"/>
    <cellStyle name="資料助理工作表數值 2 2" xfId="1754" xr:uid="{00000000-0005-0000-0000-0000C50D0000}"/>
    <cellStyle name="資料助理工作表數值 2 3" xfId="1755" xr:uid="{00000000-0005-0000-0000-0000C60D0000}"/>
    <cellStyle name="資料助理工作表數值 3" xfId="1756" xr:uid="{00000000-0005-0000-0000-0000C70D0000}"/>
    <cellStyle name="資料助理工作表數值 4" xfId="1757" xr:uid="{00000000-0005-0000-0000-0000C80D0000}"/>
    <cellStyle name="資料助理工作表標題" xfId="1758" xr:uid="{00000000-0005-0000-0000-0000C90D0000}"/>
    <cellStyle name="資料助理工作表標題 2" xfId="1759" xr:uid="{00000000-0005-0000-0000-0000CA0D0000}"/>
    <cellStyle name="資料助理工作表標題 2 2" xfId="1760" xr:uid="{00000000-0005-0000-0000-0000CB0D0000}"/>
    <cellStyle name="資料助理工作表標題 2 3" xfId="1761" xr:uid="{00000000-0005-0000-0000-0000CC0D0000}"/>
    <cellStyle name="資料助理工作表標題 3" xfId="1762" xr:uid="{00000000-0005-0000-0000-0000CD0D0000}"/>
    <cellStyle name="資料助理工作表標題 4" xfId="1763" xr:uid="{00000000-0005-0000-0000-0000CE0D0000}"/>
    <cellStyle name="資料助理工作表欄位" xfId="1764" xr:uid="{00000000-0005-0000-0000-0000CF0D0000}"/>
    <cellStyle name="資料助理工作表欄位 2" xfId="1765" xr:uid="{00000000-0005-0000-0000-0000D00D0000}"/>
    <cellStyle name="資料助理工作表欄位 2 2" xfId="1766" xr:uid="{00000000-0005-0000-0000-0000D10D0000}"/>
    <cellStyle name="資料助理工作表欄位 2 3" xfId="1767" xr:uid="{00000000-0005-0000-0000-0000D20D0000}"/>
    <cellStyle name="資料助理工作表欄位 3" xfId="1768" xr:uid="{00000000-0005-0000-0000-0000D30D0000}"/>
    <cellStyle name="資料助理工作表欄位 4" xfId="1769" xr:uid="{00000000-0005-0000-0000-0000D40D0000}"/>
    <cellStyle name="输入" xfId="1770" xr:uid="{00000000-0005-0000-0000-0000D50D0000}"/>
    <cellStyle name="输入 2" xfId="1771" xr:uid="{00000000-0005-0000-0000-0000D60D0000}"/>
    <cellStyle name="输入 2 2" xfId="1772" xr:uid="{00000000-0005-0000-0000-0000D70D0000}"/>
    <cellStyle name="输入 2 2 10" xfId="1773" xr:uid="{00000000-0005-0000-0000-0000D80D0000}"/>
    <cellStyle name="输入 2 2 10 2" xfId="3537" xr:uid="{00000000-0005-0000-0000-0000D90D0000}"/>
    <cellStyle name="输入 2 2 11" xfId="1774" xr:uid="{00000000-0005-0000-0000-0000DA0D0000}"/>
    <cellStyle name="输入 2 2 11 2" xfId="3538" xr:uid="{00000000-0005-0000-0000-0000DB0D0000}"/>
    <cellStyle name="输入 2 2 12" xfId="1775" xr:uid="{00000000-0005-0000-0000-0000DC0D0000}"/>
    <cellStyle name="输入 2 2 12 2" xfId="3539" xr:uid="{00000000-0005-0000-0000-0000DD0D0000}"/>
    <cellStyle name="输入 2 2 13" xfId="1776" xr:uid="{00000000-0005-0000-0000-0000DE0D0000}"/>
    <cellStyle name="输入 2 2 13 2" xfId="3540" xr:uid="{00000000-0005-0000-0000-0000DF0D0000}"/>
    <cellStyle name="输入 2 2 14" xfId="3536" xr:uid="{00000000-0005-0000-0000-0000E00D0000}"/>
    <cellStyle name="输入 2 2 2" xfId="1777" xr:uid="{00000000-0005-0000-0000-0000E10D0000}"/>
    <cellStyle name="输入 2 2 2 2" xfId="3541" xr:uid="{00000000-0005-0000-0000-0000E20D0000}"/>
    <cellStyle name="输入 2 2 3" xfId="1778" xr:uid="{00000000-0005-0000-0000-0000E30D0000}"/>
    <cellStyle name="输入 2 2 3 2" xfId="3542" xr:uid="{00000000-0005-0000-0000-0000E40D0000}"/>
    <cellStyle name="输入 2 2 4" xfId="1779" xr:uid="{00000000-0005-0000-0000-0000E50D0000}"/>
    <cellStyle name="输入 2 2 4 2" xfId="3543" xr:uid="{00000000-0005-0000-0000-0000E60D0000}"/>
    <cellStyle name="输入 2 2 5" xfId="1780" xr:uid="{00000000-0005-0000-0000-0000E70D0000}"/>
    <cellStyle name="输入 2 2 5 2" xfId="3544" xr:uid="{00000000-0005-0000-0000-0000E80D0000}"/>
    <cellStyle name="输入 2 2 6" xfId="1781" xr:uid="{00000000-0005-0000-0000-0000E90D0000}"/>
    <cellStyle name="输入 2 2 6 2" xfId="3545" xr:uid="{00000000-0005-0000-0000-0000EA0D0000}"/>
    <cellStyle name="输入 2 2 7" xfId="1782" xr:uid="{00000000-0005-0000-0000-0000EB0D0000}"/>
    <cellStyle name="输入 2 2 7 2" xfId="3546" xr:uid="{00000000-0005-0000-0000-0000EC0D0000}"/>
    <cellStyle name="输入 2 2 8" xfId="1783" xr:uid="{00000000-0005-0000-0000-0000ED0D0000}"/>
    <cellStyle name="输入 2 2 8 2" xfId="3547" xr:uid="{00000000-0005-0000-0000-0000EE0D0000}"/>
    <cellStyle name="输入 2 2 9" xfId="1784" xr:uid="{00000000-0005-0000-0000-0000EF0D0000}"/>
    <cellStyle name="输入 2 2 9 2" xfId="3548" xr:uid="{00000000-0005-0000-0000-0000F00D0000}"/>
    <cellStyle name="输入 2 3" xfId="1785" xr:uid="{00000000-0005-0000-0000-0000F10D0000}"/>
    <cellStyle name="输入 2 3 10" xfId="1786" xr:uid="{00000000-0005-0000-0000-0000F20D0000}"/>
    <cellStyle name="输入 2 3 10 2" xfId="3550" xr:uid="{00000000-0005-0000-0000-0000F30D0000}"/>
    <cellStyle name="输入 2 3 11" xfId="1787" xr:uid="{00000000-0005-0000-0000-0000F40D0000}"/>
    <cellStyle name="输入 2 3 11 2" xfId="3551" xr:uid="{00000000-0005-0000-0000-0000F50D0000}"/>
    <cellStyle name="输入 2 3 12" xfId="1788" xr:uid="{00000000-0005-0000-0000-0000F60D0000}"/>
    <cellStyle name="输入 2 3 12 2" xfId="3552" xr:uid="{00000000-0005-0000-0000-0000F70D0000}"/>
    <cellStyle name="输入 2 3 13" xfId="1789" xr:uid="{00000000-0005-0000-0000-0000F80D0000}"/>
    <cellStyle name="输入 2 3 13 2" xfId="3553" xr:uid="{00000000-0005-0000-0000-0000F90D0000}"/>
    <cellStyle name="输入 2 3 14" xfId="3549" xr:uid="{00000000-0005-0000-0000-0000FA0D0000}"/>
    <cellStyle name="输入 2 3 2" xfId="1790" xr:uid="{00000000-0005-0000-0000-0000FB0D0000}"/>
    <cellStyle name="输入 2 3 2 2" xfId="3554" xr:uid="{00000000-0005-0000-0000-0000FC0D0000}"/>
    <cellStyle name="输入 2 3 3" xfId="1791" xr:uid="{00000000-0005-0000-0000-0000FD0D0000}"/>
    <cellStyle name="输入 2 3 3 2" xfId="3555" xr:uid="{00000000-0005-0000-0000-0000FE0D0000}"/>
    <cellStyle name="输入 2 3 4" xfId="1792" xr:uid="{00000000-0005-0000-0000-0000FF0D0000}"/>
    <cellStyle name="输入 2 3 4 2" xfId="3556" xr:uid="{00000000-0005-0000-0000-0000000E0000}"/>
    <cellStyle name="输入 2 3 5" xfId="1793" xr:uid="{00000000-0005-0000-0000-0000010E0000}"/>
    <cellStyle name="输入 2 3 5 2" xfId="3557" xr:uid="{00000000-0005-0000-0000-0000020E0000}"/>
    <cellStyle name="输入 2 3 6" xfId="1794" xr:uid="{00000000-0005-0000-0000-0000030E0000}"/>
    <cellStyle name="输入 2 3 6 2" xfId="3558" xr:uid="{00000000-0005-0000-0000-0000040E0000}"/>
    <cellStyle name="输入 2 3 7" xfId="1795" xr:uid="{00000000-0005-0000-0000-0000050E0000}"/>
    <cellStyle name="输入 2 3 7 2" xfId="3559" xr:uid="{00000000-0005-0000-0000-0000060E0000}"/>
    <cellStyle name="输入 2 3 8" xfId="1796" xr:uid="{00000000-0005-0000-0000-0000070E0000}"/>
    <cellStyle name="输入 2 3 8 2" xfId="3560" xr:uid="{00000000-0005-0000-0000-0000080E0000}"/>
    <cellStyle name="输入 2 3 9" xfId="1797" xr:uid="{00000000-0005-0000-0000-0000090E0000}"/>
    <cellStyle name="输入 2 3 9 2" xfId="3561" xr:uid="{00000000-0005-0000-0000-00000A0E0000}"/>
    <cellStyle name="输入 2 4" xfId="3535" xr:uid="{00000000-0005-0000-0000-00000B0E0000}"/>
    <cellStyle name="输入 3" xfId="1798" xr:uid="{00000000-0005-0000-0000-00000C0E0000}"/>
    <cellStyle name="输入 3 2" xfId="1799" xr:uid="{00000000-0005-0000-0000-00000D0E0000}"/>
    <cellStyle name="输入 3 2 10" xfId="1800" xr:uid="{00000000-0005-0000-0000-00000E0E0000}"/>
    <cellStyle name="输入 3 2 10 2" xfId="3564" xr:uid="{00000000-0005-0000-0000-00000F0E0000}"/>
    <cellStyle name="输入 3 2 11" xfId="1801" xr:uid="{00000000-0005-0000-0000-0000100E0000}"/>
    <cellStyle name="输入 3 2 11 2" xfId="3565" xr:uid="{00000000-0005-0000-0000-0000110E0000}"/>
    <cellStyle name="输入 3 2 12" xfId="1802" xr:uid="{00000000-0005-0000-0000-0000120E0000}"/>
    <cellStyle name="输入 3 2 12 2" xfId="3566" xr:uid="{00000000-0005-0000-0000-0000130E0000}"/>
    <cellStyle name="输入 3 2 13" xfId="1803" xr:uid="{00000000-0005-0000-0000-0000140E0000}"/>
    <cellStyle name="输入 3 2 13 2" xfId="3567" xr:uid="{00000000-0005-0000-0000-0000150E0000}"/>
    <cellStyle name="输入 3 2 14" xfId="3563" xr:uid="{00000000-0005-0000-0000-0000160E0000}"/>
    <cellStyle name="输入 3 2 2" xfId="1804" xr:uid="{00000000-0005-0000-0000-0000170E0000}"/>
    <cellStyle name="输入 3 2 2 2" xfId="3568" xr:uid="{00000000-0005-0000-0000-0000180E0000}"/>
    <cellStyle name="输入 3 2 3" xfId="1805" xr:uid="{00000000-0005-0000-0000-0000190E0000}"/>
    <cellStyle name="输入 3 2 3 2" xfId="3569" xr:uid="{00000000-0005-0000-0000-00001A0E0000}"/>
    <cellStyle name="输入 3 2 4" xfId="1806" xr:uid="{00000000-0005-0000-0000-00001B0E0000}"/>
    <cellStyle name="输入 3 2 4 2" xfId="3570" xr:uid="{00000000-0005-0000-0000-00001C0E0000}"/>
    <cellStyle name="输入 3 2 5" xfId="1807" xr:uid="{00000000-0005-0000-0000-00001D0E0000}"/>
    <cellStyle name="输入 3 2 5 2" xfId="3571" xr:uid="{00000000-0005-0000-0000-00001E0E0000}"/>
    <cellStyle name="输入 3 2 6" xfId="1808" xr:uid="{00000000-0005-0000-0000-00001F0E0000}"/>
    <cellStyle name="输入 3 2 6 2" xfId="3572" xr:uid="{00000000-0005-0000-0000-0000200E0000}"/>
    <cellStyle name="输入 3 2 7" xfId="1809" xr:uid="{00000000-0005-0000-0000-0000210E0000}"/>
    <cellStyle name="输入 3 2 7 2" xfId="3573" xr:uid="{00000000-0005-0000-0000-0000220E0000}"/>
    <cellStyle name="输入 3 2 8" xfId="1810" xr:uid="{00000000-0005-0000-0000-0000230E0000}"/>
    <cellStyle name="输入 3 2 8 2" xfId="3574" xr:uid="{00000000-0005-0000-0000-0000240E0000}"/>
    <cellStyle name="输入 3 2 9" xfId="1811" xr:uid="{00000000-0005-0000-0000-0000250E0000}"/>
    <cellStyle name="输入 3 2 9 2" xfId="3575" xr:uid="{00000000-0005-0000-0000-0000260E0000}"/>
    <cellStyle name="输入 3 3" xfId="1812" xr:uid="{00000000-0005-0000-0000-0000270E0000}"/>
    <cellStyle name="输入 3 3 10" xfId="1813" xr:uid="{00000000-0005-0000-0000-0000280E0000}"/>
    <cellStyle name="输入 3 3 10 2" xfId="3577" xr:uid="{00000000-0005-0000-0000-0000290E0000}"/>
    <cellStyle name="输入 3 3 11" xfId="1814" xr:uid="{00000000-0005-0000-0000-00002A0E0000}"/>
    <cellStyle name="输入 3 3 11 2" xfId="3578" xr:uid="{00000000-0005-0000-0000-00002B0E0000}"/>
    <cellStyle name="输入 3 3 12" xfId="1815" xr:uid="{00000000-0005-0000-0000-00002C0E0000}"/>
    <cellStyle name="输入 3 3 12 2" xfId="3579" xr:uid="{00000000-0005-0000-0000-00002D0E0000}"/>
    <cellStyle name="输入 3 3 13" xfId="1816" xr:uid="{00000000-0005-0000-0000-00002E0E0000}"/>
    <cellStyle name="输入 3 3 13 2" xfId="3580" xr:uid="{00000000-0005-0000-0000-00002F0E0000}"/>
    <cellStyle name="输入 3 3 14" xfId="3576" xr:uid="{00000000-0005-0000-0000-0000300E0000}"/>
    <cellStyle name="输入 3 3 2" xfId="1817" xr:uid="{00000000-0005-0000-0000-0000310E0000}"/>
    <cellStyle name="输入 3 3 2 2" xfId="3581" xr:uid="{00000000-0005-0000-0000-0000320E0000}"/>
    <cellStyle name="输入 3 3 3" xfId="1818" xr:uid="{00000000-0005-0000-0000-0000330E0000}"/>
    <cellStyle name="输入 3 3 3 2" xfId="3582" xr:uid="{00000000-0005-0000-0000-0000340E0000}"/>
    <cellStyle name="输入 3 3 4" xfId="1819" xr:uid="{00000000-0005-0000-0000-0000350E0000}"/>
    <cellStyle name="输入 3 3 4 2" xfId="3583" xr:uid="{00000000-0005-0000-0000-0000360E0000}"/>
    <cellStyle name="输入 3 3 5" xfId="1820" xr:uid="{00000000-0005-0000-0000-0000370E0000}"/>
    <cellStyle name="输入 3 3 5 2" xfId="3584" xr:uid="{00000000-0005-0000-0000-0000380E0000}"/>
    <cellStyle name="输入 3 3 6" xfId="1821" xr:uid="{00000000-0005-0000-0000-0000390E0000}"/>
    <cellStyle name="输入 3 3 6 2" xfId="3585" xr:uid="{00000000-0005-0000-0000-00003A0E0000}"/>
    <cellStyle name="输入 3 3 7" xfId="1822" xr:uid="{00000000-0005-0000-0000-00003B0E0000}"/>
    <cellStyle name="输入 3 3 7 2" xfId="3586" xr:uid="{00000000-0005-0000-0000-00003C0E0000}"/>
    <cellStyle name="输入 3 3 8" xfId="1823" xr:uid="{00000000-0005-0000-0000-00003D0E0000}"/>
    <cellStyle name="输入 3 3 8 2" xfId="3587" xr:uid="{00000000-0005-0000-0000-00003E0E0000}"/>
    <cellStyle name="输入 3 3 9" xfId="1824" xr:uid="{00000000-0005-0000-0000-00003F0E0000}"/>
    <cellStyle name="输入 3 3 9 2" xfId="3588" xr:uid="{00000000-0005-0000-0000-0000400E0000}"/>
    <cellStyle name="输入 3 4" xfId="3562" xr:uid="{00000000-0005-0000-0000-0000410E0000}"/>
    <cellStyle name="输入 4" xfId="1825" xr:uid="{00000000-0005-0000-0000-0000420E0000}"/>
    <cellStyle name="输入 4 10" xfId="1826" xr:uid="{00000000-0005-0000-0000-0000430E0000}"/>
    <cellStyle name="输入 4 10 2" xfId="3590" xr:uid="{00000000-0005-0000-0000-0000440E0000}"/>
    <cellStyle name="输入 4 11" xfId="1827" xr:uid="{00000000-0005-0000-0000-0000450E0000}"/>
    <cellStyle name="输入 4 11 2" xfId="3591" xr:uid="{00000000-0005-0000-0000-0000460E0000}"/>
    <cellStyle name="输入 4 12" xfId="1828" xr:uid="{00000000-0005-0000-0000-0000470E0000}"/>
    <cellStyle name="输入 4 12 2" xfId="3592" xr:uid="{00000000-0005-0000-0000-0000480E0000}"/>
    <cellStyle name="输入 4 13" xfId="1829" xr:uid="{00000000-0005-0000-0000-0000490E0000}"/>
    <cellStyle name="输入 4 13 2" xfId="3593" xr:uid="{00000000-0005-0000-0000-00004A0E0000}"/>
    <cellStyle name="输入 4 14" xfId="3589" xr:uid="{00000000-0005-0000-0000-00004B0E0000}"/>
    <cellStyle name="输入 4 2" xfId="1830" xr:uid="{00000000-0005-0000-0000-00004C0E0000}"/>
    <cellStyle name="输入 4 2 2" xfId="3594" xr:uid="{00000000-0005-0000-0000-00004D0E0000}"/>
    <cellStyle name="输入 4 3" xfId="1831" xr:uid="{00000000-0005-0000-0000-00004E0E0000}"/>
    <cellStyle name="输入 4 3 2" xfId="3595" xr:uid="{00000000-0005-0000-0000-00004F0E0000}"/>
    <cellStyle name="输入 4 4" xfId="1832" xr:uid="{00000000-0005-0000-0000-0000500E0000}"/>
    <cellStyle name="输入 4 4 2" xfId="3596" xr:uid="{00000000-0005-0000-0000-0000510E0000}"/>
    <cellStyle name="输入 4 5" xfId="1833" xr:uid="{00000000-0005-0000-0000-0000520E0000}"/>
    <cellStyle name="输入 4 5 2" xfId="3597" xr:uid="{00000000-0005-0000-0000-0000530E0000}"/>
    <cellStyle name="输入 4 6" xfId="1834" xr:uid="{00000000-0005-0000-0000-0000540E0000}"/>
    <cellStyle name="输入 4 6 2" xfId="3598" xr:uid="{00000000-0005-0000-0000-0000550E0000}"/>
    <cellStyle name="输入 4 7" xfId="1835" xr:uid="{00000000-0005-0000-0000-0000560E0000}"/>
    <cellStyle name="输入 4 7 2" xfId="3599" xr:uid="{00000000-0005-0000-0000-0000570E0000}"/>
    <cellStyle name="输入 4 8" xfId="1836" xr:uid="{00000000-0005-0000-0000-0000580E0000}"/>
    <cellStyle name="输入 4 8 2" xfId="3600" xr:uid="{00000000-0005-0000-0000-0000590E0000}"/>
    <cellStyle name="输入 4 9" xfId="1837" xr:uid="{00000000-0005-0000-0000-00005A0E0000}"/>
    <cellStyle name="输入 4 9 2" xfId="3601" xr:uid="{00000000-0005-0000-0000-00005B0E0000}"/>
    <cellStyle name="输入 5" xfId="1838" xr:uid="{00000000-0005-0000-0000-00005C0E0000}"/>
    <cellStyle name="输入 5 10" xfId="1839" xr:uid="{00000000-0005-0000-0000-00005D0E0000}"/>
    <cellStyle name="输入 5 10 2" xfId="3603" xr:uid="{00000000-0005-0000-0000-00005E0E0000}"/>
    <cellStyle name="输入 5 11" xfId="1840" xr:uid="{00000000-0005-0000-0000-00005F0E0000}"/>
    <cellStyle name="输入 5 11 2" xfId="3604" xr:uid="{00000000-0005-0000-0000-0000600E0000}"/>
    <cellStyle name="输入 5 12" xfId="1841" xr:uid="{00000000-0005-0000-0000-0000610E0000}"/>
    <cellStyle name="输入 5 12 2" xfId="3605" xr:uid="{00000000-0005-0000-0000-0000620E0000}"/>
    <cellStyle name="输入 5 13" xfId="1842" xr:uid="{00000000-0005-0000-0000-0000630E0000}"/>
    <cellStyle name="输入 5 13 2" xfId="3606" xr:uid="{00000000-0005-0000-0000-0000640E0000}"/>
    <cellStyle name="输入 5 14" xfId="3602" xr:uid="{00000000-0005-0000-0000-0000650E0000}"/>
    <cellStyle name="输入 5 2" xfId="1843" xr:uid="{00000000-0005-0000-0000-0000660E0000}"/>
    <cellStyle name="输入 5 2 2" xfId="3607" xr:uid="{00000000-0005-0000-0000-0000670E0000}"/>
    <cellStyle name="输入 5 3" xfId="1844" xr:uid="{00000000-0005-0000-0000-0000680E0000}"/>
    <cellStyle name="输入 5 3 2" xfId="3608" xr:uid="{00000000-0005-0000-0000-0000690E0000}"/>
    <cellStyle name="输入 5 4" xfId="1845" xr:uid="{00000000-0005-0000-0000-00006A0E0000}"/>
    <cellStyle name="输入 5 4 2" xfId="3609" xr:uid="{00000000-0005-0000-0000-00006B0E0000}"/>
    <cellStyle name="输入 5 5" xfId="1846" xr:uid="{00000000-0005-0000-0000-00006C0E0000}"/>
    <cellStyle name="输入 5 5 2" xfId="3610" xr:uid="{00000000-0005-0000-0000-00006D0E0000}"/>
    <cellStyle name="输入 5 6" xfId="1847" xr:uid="{00000000-0005-0000-0000-00006E0E0000}"/>
    <cellStyle name="输入 5 6 2" xfId="3611" xr:uid="{00000000-0005-0000-0000-00006F0E0000}"/>
    <cellStyle name="输入 5 7" xfId="1848" xr:uid="{00000000-0005-0000-0000-0000700E0000}"/>
    <cellStyle name="输入 5 7 2" xfId="3612" xr:uid="{00000000-0005-0000-0000-0000710E0000}"/>
    <cellStyle name="输入 5 8" xfId="1849" xr:uid="{00000000-0005-0000-0000-0000720E0000}"/>
    <cellStyle name="输入 5 8 2" xfId="3613" xr:uid="{00000000-0005-0000-0000-0000730E0000}"/>
    <cellStyle name="输入 5 9" xfId="1850" xr:uid="{00000000-0005-0000-0000-0000740E0000}"/>
    <cellStyle name="输入 5 9 2" xfId="3614" xr:uid="{00000000-0005-0000-0000-0000750E0000}"/>
    <cellStyle name="输入 6" xfId="3534" xr:uid="{00000000-0005-0000-0000-0000760E0000}"/>
    <cellStyle name="输出" xfId="1851" xr:uid="{00000000-0005-0000-0000-0000770E0000}"/>
    <cellStyle name="输出 2" xfId="1852" xr:uid="{00000000-0005-0000-0000-0000780E0000}"/>
    <cellStyle name="输出 2 2" xfId="1853" xr:uid="{00000000-0005-0000-0000-0000790E0000}"/>
    <cellStyle name="输出 2 2 10" xfId="1854" xr:uid="{00000000-0005-0000-0000-00007A0E0000}"/>
    <cellStyle name="输出 2 2 10 2" xfId="2556" xr:uid="{00000000-0005-0000-0000-00007B0E0000}"/>
    <cellStyle name="输出 2 2 10 2 2" xfId="4146" xr:uid="{00000000-0005-0000-0000-00007C0E0000}"/>
    <cellStyle name="输出 2 2 10 3" xfId="3618" xr:uid="{00000000-0005-0000-0000-00007D0E0000}"/>
    <cellStyle name="输出 2 2 11" xfId="1855" xr:uid="{00000000-0005-0000-0000-00007E0E0000}"/>
    <cellStyle name="输出 2 2 11 2" xfId="2557" xr:uid="{00000000-0005-0000-0000-00007F0E0000}"/>
    <cellStyle name="输出 2 2 11 2 2" xfId="4147" xr:uid="{00000000-0005-0000-0000-0000800E0000}"/>
    <cellStyle name="输出 2 2 11 3" xfId="3619" xr:uid="{00000000-0005-0000-0000-0000810E0000}"/>
    <cellStyle name="输出 2 2 12" xfId="1856" xr:uid="{00000000-0005-0000-0000-0000820E0000}"/>
    <cellStyle name="输出 2 2 12 2" xfId="2558" xr:uid="{00000000-0005-0000-0000-0000830E0000}"/>
    <cellStyle name="输出 2 2 12 2 2" xfId="4148" xr:uid="{00000000-0005-0000-0000-0000840E0000}"/>
    <cellStyle name="输出 2 2 12 3" xfId="3620" xr:uid="{00000000-0005-0000-0000-0000850E0000}"/>
    <cellStyle name="输出 2 2 13" xfId="1857" xr:uid="{00000000-0005-0000-0000-0000860E0000}"/>
    <cellStyle name="输出 2 2 13 2" xfId="2559" xr:uid="{00000000-0005-0000-0000-0000870E0000}"/>
    <cellStyle name="输出 2 2 13 2 2" xfId="4149" xr:uid="{00000000-0005-0000-0000-0000880E0000}"/>
    <cellStyle name="输出 2 2 13 3" xfId="3621" xr:uid="{00000000-0005-0000-0000-0000890E0000}"/>
    <cellStyle name="输出 2 2 14" xfId="2555" xr:uid="{00000000-0005-0000-0000-00008A0E0000}"/>
    <cellStyle name="输出 2 2 14 2" xfId="4145" xr:uid="{00000000-0005-0000-0000-00008B0E0000}"/>
    <cellStyle name="输出 2 2 15" xfId="3617" xr:uid="{00000000-0005-0000-0000-00008C0E0000}"/>
    <cellStyle name="输出 2 2 2" xfId="1858" xr:uid="{00000000-0005-0000-0000-00008D0E0000}"/>
    <cellStyle name="输出 2 2 2 2" xfId="2560" xr:uid="{00000000-0005-0000-0000-00008E0E0000}"/>
    <cellStyle name="输出 2 2 2 2 2" xfId="4150" xr:uid="{00000000-0005-0000-0000-00008F0E0000}"/>
    <cellStyle name="输出 2 2 2 3" xfId="3622" xr:uid="{00000000-0005-0000-0000-0000900E0000}"/>
    <cellStyle name="输出 2 2 3" xfId="1859" xr:uid="{00000000-0005-0000-0000-0000910E0000}"/>
    <cellStyle name="输出 2 2 3 2" xfId="2561" xr:uid="{00000000-0005-0000-0000-0000920E0000}"/>
    <cellStyle name="输出 2 2 3 2 2" xfId="4151" xr:uid="{00000000-0005-0000-0000-0000930E0000}"/>
    <cellStyle name="输出 2 2 3 3" xfId="3623" xr:uid="{00000000-0005-0000-0000-0000940E0000}"/>
    <cellStyle name="输出 2 2 4" xfId="1860" xr:uid="{00000000-0005-0000-0000-0000950E0000}"/>
    <cellStyle name="输出 2 2 4 2" xfId="2562" xr:uid="{00000000-0005-0000-0000-0000960E0000}"/>
    <cellStyle name="输出 2 2 4 2 2" xfId="4152" xr:uid="{00000000-0005-0000-0000-0000970E0000}"/>
    <cellStyle name="输出 2 2 4 3" xfId="3624" xr:uid="{00000000-0005-0000-0000-0000980E0000}"/>
    <cellStyle name="输出 2 2 5" xfId="1861" xr:uid="{00000000-0005-0000-0000-0000990E0000}"/>
    <cellStyle name="输出 2 2 5 2" xfId="2563" xr:uid="{00000000-0005-0000-0000-00009A0E0000}"/>
    <cellStyle name="输出 2 2 5 2 2" xfId="4153" xr:uid="{00000000-0005-0000-0000-00009B0E0000}"/>
    <cellStyle name="输出 2 2 5 3" xfId="3625" xr:uid="{00000000-0005-0000-0000-00009C0E0000}"/>
    <cellStyle name="输出 2 2 6" xfId="1862" xr:uid="{00000000-0005-0000-0000-00009D0E0000}"/>
    <cellStyle name="输出 2 2 6 2" xfId="2564" xr:uid="{00000000-0005-0000-0000-00009E0E0000}"/>
    <cellStyle name="输出 2 2 6 2 2" xfId="4154" xr:uid="{00000000-0005-0000-0000-00009F0E0000}"/>
    <cellStyle name="输出 2 2 6 3" xfId="3626" xr:uid="{00000000-0005-0000-0000-0000A00E0000}"/>
    <cellStyle name="输出 2 2 7" xfId="1863" xr:uid="{00000000-0005-0000-0000-0000A10E0000}"/>
    <cellStyle name="输出 2 2 7 2" xfId="2565" xr:uid="{00000000-0005-0000-0000-0000A20E0000}"/>
    <cellStyle name="输出 2 2 7 2 2" xfId="4155" xr:uid="{00000000-0005-0000-0000-0000A30E0000}"/>
    <cellStyle name="输出 2 2 7 3" xfId="3627" xr:uid="{00000000-0005-0000-0000-0000A40E0000}"/>
    <cellStyle name="输出 2 2 8" xfId="1864" xr:uid="{00000000-0005-0000-0000-0000A50E0000}"/>
    <cellStyle name="输出 2 2 8 2" xfId="2566" xr:uid="{00000000-0005-0000-0000-0000A60E0000}"/>
    <cellStyle name="输出 2 2 8 2 2" xfId="4156" xr:uid="{00000000-0005-0000-0000-0000A70E0000}"/>
    <cellStyle name="输出 2 2 8 3" xfId="3628" xr:uid="{00000000-0005-0000-0000-0000A80E0000}"/>
    <cellStyle name="输出 2 2 9" xfId="1865" xr:uid="{00000000-0005-0000-0000-0000A90E0000}"/>
    <cellStyle name="输出 2 2 9 2" xfId="2567" xr:uid="{00000000-0005-0000-0000-0000AA0E0000}"/>
    <cellStyle name="输出 2 2 9 2 2" xfId="4157" xr:uid="{00000000-0005-0000-0000-0000AB0E0000}"/>
    <cellStyle name="输出 2 2 9 3" xfId="3629" xr:uid="{00000000-0005-0000-0000-0000AC0E0000}"/>
    <cellStyle name="输出 2 3" xfId="1866" xr:uid="{00000000-0005-0000-0000-0000AD0E0000}"/>
    <cellStyle name="输出 2 3 2" xfId="2568" xr:uid="{00000000-0005-0000-0000-0000AE0E0000}"/>
    <cellStyle name="输出 2 3 2 2" xfId="4158" xr:uid="{00000000-0005-0000-0000-0000AF0E0000}"/>
    <cellStyle name="输出 2 3 3" xfId="3630" xr:uid="{00000000-0005-0000-0000-0000B00E0000}"/>
    <cellStyle name="输出 2 4" xfId="2554" xr:uid="{00000000-0005-0000-0000-0000B10E0000}"/>
    <cellStyle name="输出 2 4 2" xfId="4144" xr:uid="{00000000-0005-0000-0000-0000B20E0000}"/>
    <cellStyle name="输出 2 5" xfId="3616" xr:uid="{00000000-0005-0000-0000-0000B30E0000}"/>
    <cellStyle name="输出 3" xfId="1867" xr:uid="{00000000-0005-0000-0000-0000B40E0000}"/>
    <cellStyle name="输出 3 2" xfId="1868" xr:uid="{00000000-0005-0000-0000-0000B50E0000}"/>
    <cellStyle name="输出 3 2 10" xfId="1869" xr:uid="{00000000-0005-0000-0000-0000B60E0000}"/>
    <cellStyle name="输出 3 2 10 2" xfId="2571" xr:uid="{00000000-0005-0000-0000-0000B70E0000}"/>
    <cellStyle name="输出 3 2 10 2 2" xfId="4161" xr:uid="{00000000-0005-0000-0000-0000B80E0000}"/>
    <cellStyle name="输出 3 2 10 3" xfId="3633" xr:uid="{00000000-0005-0000-0000-0000B90E0000}"/>
    <cellStyle name="输出 3 2 11" xfId="1870" xr:uid="{00000000-0005-0000-0000-0000BA0E0000}"/>
    <cellStyle name="输出 3 2 11 2" xfId="2572" xr:uid="{00000000-0005-0000-0000-0000BB0E0000}"/>
    <cellStyle name="输出 3 2 11 2 2" xfId="4162" xr:uid="{00000000-0005-0000-0000-0000BC0E0000}"/>
    <cellStyle name="输出 3 2 11 3" xfId="3634" xr:uid="{00000000-0005-0000-0000-0000BD0E0000}"/>
    <cellStyle name="输出 3 2 12" xfId="1871" xr:uid="{00000000-0005-0000-0000-0000BE0E0000}"/>
    <cellStyle name="输出 3 2 12 2" xfId="2573" xr:uid="{00000000-0005-0000-0000-0000BF0E0000}"/>
    <cellStyle name="输出 3 2 12 2 2" xfId="4163" xr:uid="{00000000-0005-0000-0000-0000C00E0000}"/>
    <cellStyle name="输出 3 2 12 3" xfId="3635" xr:uid="{00000000-0005-0000-0000-0000C10E0000}"/>
    <cellStyle name="输出 3 2 13" xfId="1872" xr:uid="{00000000-0005-0000-0000-0000C20E0000}"/>
    <cellStyle name="输出 3 2 13 2" xfId="2574" xr:uid="{00000000-0005-0000-0000-0000C30E0000}"/>
    <cellStyle name="输出 3 2 13 2 2" xfId="4164" xr:uid="{00000000-0005-0000-0000-0000C40E0000}"/>
    <cellStyle name="输出 3 2 13 3" xfId="3636" xr:uid="{00000000-0005-0000-0000-0000C50E0000}"/>
    <cellStyle name="输出 3 2 14" xfId="2570" xr:uid="{00000000-0005-0000-0000-0000C60E0000}"/>
    <cellStyle name="输出 3 2 14 2" xfId="4160" xr:uid="{00000000-0005-0000-0000-0000C70E0000}"/>
    <cellStyle name="输出 3 2 15" xfId="3632" xr:uid="{00000000-0005-0000-0000-0000C80E0000}"/>
    <cellStyle name="输出 3 2 2" xfId="1873" xr:uid="{00000000-0005-0000-0000-0000C90E0000}"/>
    <cellStyle name="输出 3 2 2 2" xfId="2575" xr:uid="{00000000-0005-0000-0000-0000CA0E0000}"/>
    <cellStyle name="输出 3 2 2 2 2" xfId="4165" xr:uid="{00000000-0005-0000-0000-0000CB0E0000}"/>
    <cellStyle name="输出 3 2 2 3" xfId="3637" xr:uid="{00000000-0005-0000-0000-0000CC0E0000}"/>
    <cellStyle name="输出 3 2 3" xfId="1874" xr:uid="{00000000-0005-0000-0000-0000CD0E0000}"/>
    <cellStyle name="输出 3 2 3 2" xfId="2576" xr:uid="{00000000-0005-0000-0000-0000CE0E0000}"/>
    <cellStyle name="输出 3 2 3 2 2" xfId="4166" xr:uid="{00000000-0005-0000-0000-0000CF0E0000}"/>
    <cellStyle name="输出 3 2 3 3" xfId="3638" xr:uid="{00000000-0005-0000-0000-0000D00E0000}"/>
    <cellStyle name="输出 3 2 4" xfId="1875" xr:uid="{00000000-0005-0000-0000-0000D10E0000}"/>
    <cellStyle name="输出 3 2 4 2" xfId="2577" xr:uid="{00000000-0005-0000-0000-0000D20E0000}"/>
    <cellStyle name="输出 3 2 4 2 2" xfId="4167" xr:uid="{00000000-0005-0000-0000-0000D30E0000}"/>
    <cellStyle name="输出 3 2 4 3" xfId="3639" xr:uid="{00000000-0005-0000-0000-0000D40E0000}"/>
    <cellStyle name="输出 3 2 5" xfId="1876" xr:uid="{00000000-0005-0000-0000-0000D50E0000}"/>
    <cellStyle name="输出 3 2 5 2" xfId="2578" xr:uid="{00000000-0005-0000-0000-0000D60E0000}"/>
    <cellStyle name="输出 3 2 5 2 2" xfId="4168" xr:uid="{00000000-0005-0000-0000-0000D70E0000}"/>
    <cellStyle name="输出 3 2 5 3" xfId="3640" xr:uid="{00000000-0005-0000-0000-0000D80E0000}"/>
    <cellStyle name="输出 3 2 6" xfId="1877" xr:uid="{00000000-0005-0000-0000-0000D90E0000}"/>
    <cellStyle name="输出 3 2 6 2" xfId="2579" xr:uid="{00000000-0005-0000-0000-0000DA0E0000}"/>
    <cellStyle name="输出 3 2 6 2 2" xfId="4169" xr:uid="{00000000-0005-0000-0000-0000DB0E0000}"/>
    <cellStyle name="输出 3 2 6 3" xfId="3641" xr:uid="{00000000-0005-0000-0000-0000DC0E0000}"/>
    <cellStyle name="输出 3 2 7" xfId="1878" xr:uid="{00000000-0005-0000-0000-0000DD0E0000}"/>
    <cellStyle name="输出 3 2 7 2" xfId="2580" xr:uid="{00000000-0005-0000-0000-0000DE0E0000}"/>
    <cellStyle name="输出 3 2 7 2 2" xfId="4170" xr:uid="{00000000-0005-0000-0000-0000DF0E0000}"/>
    <cellStyle name="输出 3 2 7 3" xfId="3642" xr:uid="{00000000-0005-0000-0000-0000E00E0000}"/>
    <cellStyle name="输出 3 2 8" xfId="1879" xr:uid="{00000000-0005-0000-0000-0000E10E0000}"/>
    <cellStyle name="输出 3 2 8 2" xfId="2581" xr:uid="{00000000-0005-0000-0000-0000E20E0000}"/>
    <cellStyle name="输出 3 2 8 2 2" xfId="4171" xr:uid="{00000000-0005-0000-0000-0000E30E0000}"/>
    <cellStyle name="输出 3 2 8 3" xfId="3643" xr:uid="{00000000-0005-0000-0000-0000E40E0000}"/>
    <cellStyle name="输出 3 2 9" xfId="1880" xr:uid="{00000000-0005-0000-0000-0000E50E0000}"/>
    <cellStyle name="输出 3 2 9 2" xfId="2582" xr:uid="{00000000-0005-0000-0000-0000E60E0000}"/>
    <cellStyle name="输出 3 2 9 2 2" xfId="4172" xr:uid="{00000000-0005-0000-0000-0000E70E0000}"/>
    <cellStyle name="输出 3 2 9 3" xfId="3644" xr:uid="{00000000-0005-0000-0000-0000E80E0000}"/>
    <cellStyle name="输出 3 3" xfId="1881" xr:uid="{00000000-0005-0000-0000-0000E90E0000}"/>
    <cellStyle name="输出 3 3 2" xfId="2583" xr:uid="{00000000-0005-0000-0000-0000EA0E0000}"/>
    <cellStyle name="输出 3 3 2 2" xfId="4173" xr:uid="{00000000-0005-0000-0000-0000EB0E0000}"/>
    <cellStyle name="输出 3 3 3" xfId="3645" xr:uid="{00000000-0005-0000-0000-0000EC0E0000}"/>
    <cellStyle name="输出 3 4" xfId="2569" xr:uid="{00000000-0005-0000-0000-0000ED0E0000}"/>
    <cellStyle name="输出 3 4 2" xfId="4159" xr:uid="{00000000-0005-0000-0000-0000EE0E0000}"/>
    <cellStyle name="输出 3 5" xfId="3631" xr:uid="{00000000-0005-0000-0000-0000EF0E0000}"/>
    <cellStyle name="输出 4" xfId="1882" xr:uid="{00000000-0005-0000-0000-0000F00E0000}"/>
    <cellStyle name="输出 4 10" xfId="1883" xr:uid="{00000000-0005-0000-0000-0000F10E0000}"/>
    <cellStyle name="输出 4 10 2" xfId="2585" xr:uid="{00000000-0005-0000-0000-0000F20E0000}"/>
    <cellStyle name="输出 4 10 2 2" xfId="4175" xr:uid="{00000000-0005-0000-0000-0000F30E0000}"/>
    <cellStyle name="输出 4 10 3" xfId="3647" xr:uid="{00000000-0005-0000-0000-0000F40E0000}"/>
    <cellStyle name="输出 4 11" xfId="1884" xr:uid="{00000000-0005-0000-0000-0000F50E0000}"/>
    <cellStyle name="输出 4 11 2" xfId="2586" xr:uid="{00000000-0005-0000-0000-0000F60E0000}"/>
    <cellStyle name="输出 4 11 2 2" xfId="4176" xr:uid="{00000000-0005-0000-0000-0000F70E0000}"/>
    <cellStyle name="输出 4 11 3" xfId="3648" xr:uid="{00000000-0005-0000-0000-0000F80E0000}"/>
    <cellStyle name="输出 4 12" xfId="1885" xr:uid="{00000000-0005-0000-0000-0000F90E0000}"/>
    <cellStyle name="输出 4 12 2" xfId="2587" xr:uid="{00000000-0005-0000-0000-0000FA0E0000}"/>
    <cellStyle name="输出 4 12 2 2" xfId="4177" xr:uid="{00000000-0005-0000-0000-0000FB0E0000}"/>
    <cellStyle name="输出 4 12 3" xfId="3649" xr:uid="{00000000-0005-0000-0000-0000FC0E0000}"/>
    <cellStyle name="输出 4 13" xfId="1886" xr:uid="{00000000-0005-0000-0000-0000FD0E0000}"/>
    <cellStyle name="输出 4 13 2" xfId="2588" xr:uid="{00000000-0005-0000-0000-0000FE0E0000}"/>
    <cellStyle name="输出 4 13 2 2" xfId="4178" xr:uid="{00000000-0005-0000-0000-0000FF0E0000}"/>
    <cellStyle name="输出 4 13 3" xfId="3650" xr:uid="{00000000-0005-0000-0000-0000000F0000}"/>
    <cellStyle name="输出 4 14" xfId="2584" xr:uid="{00000000-0005-0000-0000-0000010F0000}"/>
    <cellStyle name="输出 4 14 2" xfId="4174" xr:uid="{00000000-0005-0000-0000-0000020F0000}"/>
    <cellStyle name="输出 4 15" xfId="3646" xr:uid="{00000000-0005-0000-0000-0000030F0000}"/>
    <cellStyle name="输出 4 2" xfId="1887" xr:uid="{00000000-0005-0000-0000-0000040F0000}"/>
    <cellStyle name="输出 4 2 2" xfId="2589" xr:uid="{00000000-0005-0000-0000-0000050F0000}"/>
    <cellStyle name="输出 4 2 2 2" xfId="4179" xr:uid="{00000000-0005-0000-0000-0000060F0000}"/>
    <cellStyle name="输出 4 2 3" xfId="3651" xr:uid="{00000000-0005-0000-0000-0000070F0000}"/>
    <cellStyle name="输出 4 3" xfId="1888" xr:uid="{00000000-0005-0000-0000-0000080F0000}"/>
    <cellStyle name="输出 4 3 2" xfId="2590" xr:uid="{00000000-0005-0000-0000-0000090F0000}"/>
    <cellStyle name="输出 4 3 2 2" xfId="4180" xr:uid="{00000000-0005-0000-0000-00000A0F0000}"/>
    <cellStyle name="输出 4 3 3" xfId="3652" xr:uid="{00000000-0005-0000-0000-00000B0F0000}"/>
    <cellStyle name="输出 4 4" xfId="1889" xr:uid="{00000000-0005-0000-0000-00000C0F0000}"/>
    <cellStyle name="输出 4 4 2" xfId="2591" xr:uid="{00000000-0005-0000-0000-00000D0F0000}"/>
    <cellStyle name="输出 4 4 2 2" xfId="4181" xr:uid="{00000000-0005-0000-0000-00000E0F0000}"/>
    <cellStyle name="输出 4 4 3" xfId="3653" xr:uid="{00000000-0005-0000-0000-00000F0F0000}"/>
    <cellStyle name="输出 4 5" xfId="1890" xr:uid="{00000000-0005-0000-0000-0000100F0000}"/>
    <cellStyle name="输出 4 5 2" xfId="2592" xr:uid="{00000000-0005-0000-0000-0000110F0000}"/>
    <cellStyle name="输出 4 5 2 2" xfId="4182" xr:uid="{00000000-0005-0000-0000-0000120F0000}"/>
    <cellStyle name="输出 4 5 3" xfId="3654" xr:uid="{00000000-0005-0000-0000-0000130F0000}"/>
    <cellStyle name="输出 4 6" xfId="1891" xr:uid="{00000000-0005-0000-0000-0000140F0000}"/>
    <cellStyle name="输出 4 6 2" xfId="2593" xr:uid="{00000000-0005-0000-0000-0000150F0000}"/>
    <cellStyle name="输出 4 6 2 2" xfId="4183" xr:uid="{00000000-0005-0000-0000-0000160F0000}"/>
    <cellStyle name="输出 4 6 3" xfId="3655" xr:uid="{00000000-0005-0000-0000-0000170F0000}"/>
    <cellStyle name="输出 4 7" xfId="1892" xr:uid="{00000000-0005-0000-0000-0000180F0000}"/>
    <cellStyle name="输出 4 7 2" xfId="2594" xr:uid="{00000000-0005-0000-0000-0000190F0000}"/>
    <cellStyle name="输出 4 7 2 2" xfId="4184" xr:uid="{00000000-0005-0000-0000-00001A0F0000}"/>
    <cellStyle name="输出 4 7 3" xfId="3656" xr:uid="{00000000-0005-0000-0000-00001B0F0000}"/>
    <cellStyle name="输出 4 8" xfId="1893" xr:uid="{00000000-0005-0000-0000-00001C0F0000}"/>
    <cellStyle name="输出 4 8 2" xfId="2595" xr:uid="{00000000-0005-0000-0000-00001D0F0000}"/>
    <cellStyle name="输出 4 8 2 2" xfId="4185" xr:uid="{00000000-0005-0000-0000-00001E0F0000}"/>
    <cellStyle name="输出 4 8 3" xfId="3657" xr:uid="{00000000-0005-0000-0000-00001F0F0000}"/>
    <cellStyle name="输出 4 9" xfId="1894" xr:uid="{00000000-0005-0000-0000-0000200F0000}"/>
    <cellStyle name="输出 4 9 2" xfId="2596" xr:uid="{00000000-0005-0000-0000-0000210F0000}"/>
    <cellStyle name="输出 4 9 2 2" xfId="4186" xr:uid="{00000000-0005-0000-0000-0000220F0000}"/>
    <cellStyle name="输出 4 9 3" xfId="3658" xr:uid="{00000000-0005-0000-0000-0000230F0000}"/>
    <cellStyle name="输出 5" xfId="1895" xr:uid="{00000000-0005-0000-0000-0000240F0000}"/>
    <cellStyle name="输出 5 2" xfId="2597" xr:uid="{00000000-0005-0000-0000-0000250F0000}"/>
    <cellStyle name="输出 5 2 2" xfId="4187" xr:uid="{00000000-0005-0000-0000-0000260F0000}"/>
    <cellStyle name="输出 5 3" xfId="3659" xr:uid="{00000000-0005-0000-0000-0000270F0000}"/>
    <cellStyle name="输出 6" xfId="2553" xr:uid="{00000000-0005-0000-0000-0000280F0000}"/>
    <cellStyle name="输出 6 2" xfId="4143" xr:uid="{00000000-0005-0000-0000-0000290F0000}"/>
    <cellStyle name="输出 7" xfId="3615" xr:uid="{00000000-0005-0000-0000-00002A0F0000}"/>
    <cellStyle name="說明文字 2" xfId="1896" xr:uid="{00000000-0005-0000-0000-00002B0F0000}"/>
    <cellStyle name="說明文字 3" xfId="1897" xr:uid="{00000000-0005-0000-0000-00002C0F0000}"/>
    <cellStyle name="輔色1 2" xfId="1898" xr:uid="{00000000-0005-0000-0000-00002D0F0000}"/>
    <cellStyle name="輔色1 3" xfId="1899" xr:uid="{00000000-0005-0000-0000-00002E0F0000}"/>
    <cellStyle name="輔色2 2" xfId="1900" xr:uid="{00000000-0005-0000-0000-00002F0F0000}"/>
    <cellStyle name="輔色2 3" xfId="1901" xr:uid="{00000000-0005-0000-0000-0000300F0000}"/>
    <cellStyle name="輔色3 2" xfId="1902" xr:uid="{00000000-0005-0000-0000-0000310F0000}"/>
    <cellStyle name="輔色3 3" xfId="1903" xr:uid="{00000000-0005-0000-0000-0000320F0000}"/>
    <cellStyle name="輔色4 2" xfId="1904" xr:uid="{00000000-0005-0000-0000-0000330F0000}"/>
    <cellStyle name="輔色4 3" xfId="1905" xr:uid="{00000000-0005-0000-0000-0000340F0000}"/>
    <cellStyle name="輔色5 2" xfId="1906" xr:uid="{00000000-0005-0000-0000-0000350F0000}"/>
    <cellStyle name="輔色5 3" xfId="1907" xr:uid="{00000000-0005-0000-0000-0000360F0000}"/>
    <cellStyle name="輔色6 2" xfId="1908" xr:uid="{00000000-0005-0000-0000-0000370F0000}"/>
    <cellStyle name="輔色6 3" xfId="1909" xr:uid="{00000000-0005-0000-0000-0000380F0000}"/>
    <cellStyle name="標題 1 2" xfId="1910" xr:uid="{00000000-0005-0000-0000-0000390F0000}"/>
    <cellStyle name="標題 1 3" xfId="1911" xr:uid="{00000000-0005-0000-0000-00003A0F0000}"/>
    <cellStyle name="標題 2 2" xfId="1912" xr:uid="{00000000-0005-0000-0000-00003B0F0000}"/>
    <cellStyle name="標題 2 3" xfId="1913" xr:uid="{00000000-0005-0000-0000-00003C0F0000}"/>
    <cellStyle name="標題 3 2" xfId="1914" xr:uid="{00000000-0005-0000-0000-00003D0F0000}"/>
    <cellStyle name="標題 3 3" xfId="1915" xr:uid="{00000000-0005-0000-0000-00003E0F0000}"/>
    <cellStyle name="標題 4 2" xfId="1916" xr:uid="{00000000-0005-0000-0000-00003F0F0000}"/>
    <cellStyle name="標題 4 3" xfId="1917" xr:uid="{00000000-0005-0000-0000-0000400F0000}"/>
    <cellStyle name="標題 5" xfId="1918" xr:uid="{00000000-0005-0000-0000-0000410F0000}"/>
    <cellStyle name="標題 6" xfId="1919" xr:uid="{00000000-0005-0000-0000-0000420F0000}"/>
    <cellStyle name="樣式 1" xfId="1920" xr:uid="{00000000-0005-0000-0000-0000430F0000}"/>
    <cellStyle name="樣式 1 2" xfId="1921" xr:uid="{00000000-0005-0000-0000-0000440F0000}"/>
    <cellStyle name="輸入 2" xfId="1922" xr:uid="{00000000-0005-0000-0000-0000450F0000}"/>
    <cellStyle name="輸入 2 2" xfId="1923" xr:uid="{00000000-0005-0000-0000-0000460F0000}"/>
    <cellStyle name="輸入 2 2 10" xfId="1924" xr:uid="{00000000-0005-0000-0000-0000470F0000}"/>
    <cellStyle name="輸入 2 2 10 2" xfId="3662" xr:uid="{00000000-0005-0000-0000-0000480F0000}"/>
    <cellStyle name="輸入 2 2 11" xfId="1925" xr:uid="{00000000-0005-0000-0000-0000490F0000}"/>
    <cellStyle name="輸入 2 2 11 2" xfId="3663" xr:uid="{00000000-0005-0000-0000-00004A0F0000}"/>
    <cellStyle name="輸入 2 2 12" xfId="1926" xr:uid="{00000000-0005-0000-0000-00004B0F0000}"/>
    <cellStyle name="輸入 2 2 12 2" xfId="3664" xr:uid="{00000000-0005-0000-0000-00004C0F0000}"/>
    <cellStyle name="輸入 2 2 13" xfId="1927" xr:uid="{00000000-0005-0000-0000-00004D0F0000}"/>
    <cellStyle name="輸入 2 2 13 2" xfId="3665" xr:uid="{00000000-0005-0000-0000-00004E0F0000}"/>
    <cellStyle name="輸入 2 2 14" xfId="3661" xr:uid="{00000000-0005-0000-0000-00004F0F0000}"/>
    <cellStyle name="輸入 2 2 2" xfId="1928" xr:uid="{00000000-0005-0000-0000-0000500F0000}"/>
    <cellStyle name="輸入 2 2 2 2" xfId="3666" xr:uid="{00000000-0005-0000-0000-0000510F0000}"/>
    <cellStyle name="輸入 2 2 3" xfId="1929" xr:uid="{00000000-0005-0000-0000-0000520F0000}"/>
    <cellStyle name="輸入 2 2 3 2" xfId="3667" xr:uid="{00000000-0005-0000-0000-0000530F0000}"/>
    <cellStyle name="輸入 2 2 4" xfId="1930" xr:uid="{00000000-0005-0000-0000-0000540F0000}"/>
    <cellStyle name="輸入 2 2 4 2" xfId="3668" xr:uid="{00000000-0005-0000-0000-0000550F0000}"/>
    <cellStyle name="輸入 2 2 5" xfId="1931" xr:uid="{00000000-0005-0000-0000-0000560F0000}"/>
    <cellStyle name="輸入 2 2 5 2" xfId="3669" xr:uid="{00000000-0005-0000-0000-0000570F0000}"/>
    <cellStyle name="輸入 2 2 6" xfId="1932" xr:uid="{00000000-0005-0000-0000-0000580F0000}"/>
    <cellStyle name="輸入 2 2 6 2" xfId="3670" xr:uid="{00000000-0005-0000-0000-0000590F0000}"/>
    <cellStyle name="輸入 2 2 7" xfId="1933" xr:uid="{00000000-0005-0000-0000-00005A0F0000}"/>
    <cellStyle name="輸入 2 2 7 2" xfId="3671" xr:uid="{00000000-0005-0000-0000-00005B0F0000}"/>
    <cellStyle name="輸入 2 2 8" xfId="1934" xr:uid="{00000000-0005-0000-0000-00005C0F0000}"/>
    <cellStyle name="輸入 2 2 8 2" xfId="3672" xr:uid="{00000000-0005-0000-0000-00005D0F0000}"/>
    <cellStyle name="輸入 2 2 9" xfId="1935" xr:uid="{00000000-0005-0000-0000-00005E0F0000}"/>
    <cellStyle name="輸入 2 2 9 2" xfId="3673" xr:uid="{00000000-0005-0000-0000-00005F0F0000}"/>
    <cellStyle name="輸入 2 3" xfId="1936" xr:uid="{00000000-0005-0000-0000-0000600F0000}"/>
    <cellStyle name="輸入 2 3 10" xfId="1937" xr:uid="{00000000-0005-0000-0000-0000610F0000}"/>
    <cellStyle name="輸入 2 3 10 2" xfId="3675" xr:uid="{00000000-0005-0000-0000-0000620F0000}"/>
    <cellStyle name="輸入 2 3 11" xfId="1938" xr:uid="{00000000-0005-0000-0000-0000630F0000}"/>
    <cellStyle name="輸入 2 3 11 2" xfId="3676" xr:uid="{00000000-0005-0000-0000-0000640F0000}"/>
    <cellStyle name="輸入 2 3 12" xfId="1939" xr:uid="{00000000-0005-0000-0000-0000650F0000}"/>
    <cellStyle name="輸入 2 3 12 2" xfId="3677" xr:uid="{00000000-0005-0000-0000-0000660F0000}"/>
    <cellStyle name="輸入 2 3 13" xfId="1940" xr:uid="{00000000-0005-0000-0000-0000670F0000}"/>
    <cellStyle name="輸入 2 3 13 2" xfId="3678" xr:uid="{00000000-0005-0000-0000-0000680F0000}"/>
    <cellStyle name="輸入 2 3 14" xfId="3674" xr:uid="{00000000-0005-0000-0000-0000690F0000}"/>
    <cellStyle name="輸入 2 3 2" xfId="1941" xr:uid="{00000000-0005-0000-0000-00006A0F0000}"/>
    <cellStyle name="輸入 2 3 2 2" xfId="3679" xr:uid="{00000000-0005-0000-0000-00006B0F0000}"/>
    <cellStyle name="輸入 2 3 3" xfId="1942" xr:uid="{00000000-0005-0000-0000-00006C0F0000}"/>
    <cellStyle name="輸入 2 3 3 2" xfId="3680" xr:uid="{00000000-0005-0000-0000-00006D0F0000}"/>
    <cellStyle name="輸入 2 3 4" xfId="1943" xr:uid="{00000000-0005-0000-0000-00006E0F0000}"/>
    <cellStyle name="輸入 2 3 4 2" xfId="3681" xr:uid="{00000000-0005-0000-0000-00006F0F0000}"/>
    <cellStyle name="輸入 2 3 5" xfId="1944" xr:uid="{00000000-0005-0000-0000-0000700F0000}"/>
    <cellStyle name="輸入 2 3 5 2" xfId="3682" xr:uid="{00000000-0005-0000-0000-0000710F0000}"/>
    <cellStyle name="輸入 2 3 6" xfId="1945" xr:uid="{00000000-0005-0000-0000-0000720F0000}"/>
    <cellStyle name="輸入 2 3 6 2" xfId="3683" xr:uid="{00000000-0005-0000-0000-0000730F0000}"/>
    <cellStyle name="輸入 2 3 7" xfId="1946" xr:uid="{00000000-0005-0000-0000-0000740F0000}"/>
    <cellStyle name="輸入 2 3 7 2" xfId="3684" xr:uid="{00000000-0005-0000-0000-0000750F0000}"/>
    <cellStyle name="輸入 2 3 8" xfId="1947" xr:uid="{00000000-0005-0000-0000-0000760F0000}"/>
    <cellStyle name="輸入 2 3 8 2" xfId="3685" xr:uid="{00000000-0005-0000-0000-0000770F0000}"/>
    <cellStyle name="輸入 2 3 9" xfId="1948" xr:uid="{00000000-0005-0000-0000-0000780F0000}"/>
    <cellStyle name="輸入 2 3 9 2" xfId="3686" xr:uid="{00000000-0005-0000-0000-0000790F0000}"/>
    <cellStyle name="輸入 2 4" xfId="3660" xr:uid="{00000000-0005-0000-0000-00007A0F0000}"/>
    <cellStyle name="輸入 3" xfId="1949" xr:uid="{00000000-0005-0000-0000-00007B0F0000}"/>
    <cellStyle name="輸入 3 2" xfId="1950" xr:uid="{00000000-0005-0000-0000-00007C0F0000}"/>
    <cellStyle name="輸入 3 2 10" xfId="1951" xr:uid="{00000000-0005-0000-0000-00007D0F0000}"/>
    <cellStyle name="輸入 3 2 10 2" xfId="3689" xr:uid="{00000000-0005-0000-0000-00007E0F0000}"/>
    <cellStyle name="輸入 3 2 11" xfId="1952" xr:uid="{00000000-0005-0000-0000-00007F0F0000}"/>
    <cellStyle name="輸入 3 2 11 2" xfId="3690" xr:uid="{00000000-0005-0000-0000-0000800F0000}"/>
    <cellStyle name="輸入 3 2 12" xfId="1953" xr:uid="{00000000-0005-0000-0000-0000810F0000}"/>
    <cellStyle name="輸入 3 2 12 2" xfId="3691" xr:uid="{00000000-0005-0000-0000-0000820F0000}"/>
    <cellStyle name="輸入 3 2 13" xfId="1954" xr:uid="{00000000-0005-0000-0000-0000830F0000}"/>
    <cellStyle name="輸入 3 2 13 2" xfId="3692" xr:uid="{00000000-0005-0000-0000-0000840F0000}"/>
    <cellStyle name="輸入 3 2 14" xfId="3688" xr:uid="{00000000-0005-0000-0000-0000850F0000}"/>
    <cellStyle name="輸入 3 2 2" xfId="1955" xr:uid="{00000000-0005-0000-0000-0000860F0000}"/>
    <cellStyle name="輸入 3 2 2 2" xfId="3693" xr:uid="{00000000-0005-0000-0000-0000870F0000}"/>
    <cellStyle name="輸入 3 2 3" xfId="1956" xr:uid="{00000000-0005-0000-0000-0000880F0000}"/>
    <cellStyle name="輸入 3 2 3 2" xfId="3694" xr:uid="{00000000-0005-0000-0000-0000890F0000}"/>
    <cellStyle name="輸入 3 2 4" xfId="1957" xr:uid="{00000000-0005-0000-0000-00008A0F0000}"/>
    <cellStyle name="輸入 3 2 4 2" xfId="3695" xr:uid="{00000000-0005-0000-0000-00008B0F0000}"/>
    <cellStyle name="輸入 3 2 5" xfId="1958" xr:uid="{00000000-0005-0000-0000-00008C0F0000}"/>
    <cellStyle name="輸入 3 2 5 2" xfId="3696" xr:uid="{00000000-0005-0000-0000-00008D0F0000}"/>
    <cellStyle name="輸入 3 2 6" xfId="1959" xr:uid="{00000000-0005-0000-0000-00008E0F0000}"/>
    <cellStyle name="輸入 3 2 6 2" xfId="3697" xr:uid="{00000000-0005-0000-0000-00008F0F0000}"/>
    <cellStyle name="輸入 3 2 7" xfId="1960" xr:uid="{00000000-0005-0000-0000-0000900F0000}"/>
    <cellStyle name="輸入 3 2 7 2" xfId="3698" xr:uid="{00000000-0005-0000-0000-0000910F0000}"/>
    <cellStyle name="輸入 3 2 8" xfId="1961" xr:uid="{00000000-0005-0000-0000-0000920F0000}"/>
    <cellStyle name="輸入 3 2 8 2" xfId="3699" xr:uid="{00000000-0005-0000-0000-0000930F0000}"/>
    <cellStyle name="輸入 3 2 9" xfId="1962" xr:uid="{00000000-0005-0000-0000-0000940F0000}"/>
    <cellStyle name="輸入 3 2 9 2" xfId="3700" xr:uid="{00000000-0005-0000-0000-0000950F0000}"/>
    <cellStyle name="輸入 3 3" xfId="1963" xr:uid="{00000000-0005-0000-0000-0000960F0000}"/>
    <cellStyle name="輸入 3 3 10" xfId="1964" xr:uid="{00000000-0005-0000-0000-0000970F0000}"/>
    <cellStyle name="輸入 3 3 10 2" xfId="3702" xr:uid="{00000000-0005-0000-0000-0000980F0000}"/>
    <cellStyle name="輸入 3 3 11" xfId="1965" xr:uid="{00000000-0005-0000-0000-0000990F0000}"/>
    <cellStyle name="輸入 3 3 11 2" xfId="3703" xr:uid="{00000000-0005-0000-0000-00009A0F0000}"/>
    <cellStyle name="輸入 3 3 12" xfId="1966" xr:uid="{00000000-0005-0000-0000-00009B0F0000}"/>
    <cellStyle name="輸入 3 3 12 2" xfId="3704" xr:uid="{00000000-0005-0000-0000-00009C0F0000}"/>
    <cellStyle name="輸入 3 3 13" xfId="1967" xr:uid="{00000000-0005-0000-0000-00009D0F0000}"/>
    <cellStyle name="輸入 3 3 13 2" xfId="3705" xr:uid="{00000000-0005-0000-0000-00009E0F0000}"/>
    <cellStyle name="輸入 3 3 14" xfId="3701" xr:uid="{00000000-0005-0000-0000-00009F0F0000}"/>
    <cellStyle name="輸入 3 3 2" xfId="1968" xr:uid="{00000000-0005-0000-0000-0000A00F0000}"/>
    <cellStyle name="輸入 3 3 2 2" xfId="3706" xr:uid="{00000000-0005-0000-0000-0000A10F0000}"/>
    <cellStyle name="輸入 3 3 3" xfId="1969" xr:uid="{00000000-0005-0000-0000-0000A20F0000}"/>
    <cellStyle name="輸入 3 3 3 2" xfId="3707" xr:uid="{00000000-0005-0000-0000-0000A30F0000}"/>
    <cellStyle name="輸入 3 3 4" xfId="1970" xr:uid="{00000000-0005-0000-0000-0000A40F0000}"/>
    <cellStyle name="輸入 3 3 4 2" xfId="3708" xr:uid="{00000000-0005-0000-0000-0000A50F0000}"/>
    <cellStyle name="輸入 3 3 5" xfId="1971" xr:uid="{00000000-0005-0000-0000-0000A60F0000}"/>
    <cellStyle name="輸入 3 3 5 2" xfId="3709" xr:uid="{00000000-0005-0000-0000-0000A70F0000}"/>
    <cellStyle name="輸入 3 3 6" xfId="1972" xr:uid="{00000000-0005-0000-0000-0000A80F0000}"/>
    <cellStyle name="輸入 3 3 6 2" xfId="3710" xr:uid="{00000000-0005-0000-0000-0000A90F0000}"/>
    <cellStyle name="輸入 3 3 7" xfId="1973" xr:uid="{00000000-0005-0000-0000-0000AA0F0000}"/>
    <cellStyle name="輸入 3 3 7 2" xfId="3711" xr:uid="{00000000-0005-0000-0000-0000AB0F0000}"/>
    <cellStyle name="輸入 3 3 8" xfId="1974" xr:uid="{00000000-0005-0000-0000-0000AC0F0000}"/>
    <cellStyle name="輸入 3 3 8 2" xfId="3712" xr:uid="{00000000-0005-0000-0000-0000AD0F0000}"/>
    <cellStyle name="輸入 3 3 9" xfId="1975" xr:uid="{00000000-0005-0000-0000-0000AE0F0000}"/>
    <cellStyle name="輸入 3 3 9 2" xfId="3713" xr:uid="{00000000-0005-0000-0000-0000AF0F0000}"/>
    <cellStyle name="輸入 3 4" xfId="3687" xr:uid="{00000000-0005-0000-0000-0000B00F0000}"/>
    <cellStyle name="輸出 2" xfId="1976" xr:uid="{00000000-0005-0000-0000-0000B10F0000}"/>
    <cellStyle name="輸出 2 2" xfId="1977" xr:uid="{00000000-0005-0000-0000-0000B20F0000}"/>
    <cellStyle name="輸出 2 2 10" xfId="1978" xr:uid="{00000000-0005-0000-0000-0000B30F0000}"/>
    <cellStyle name="輸出 2 2 10 2" xfId="2600" xr:uid="{00000000-0005-0000-0000-0000B40F0000}"/>
    <cellStyle name="輸出 2 2 10 2 2" xfId="4190" xr:uid="{00000000-0005-0000-0000-0000B50F0000}"/>
    <cellStyle name="輸出 2 2 10 3" xfId="3716" xr:uid="{00000000-0005-0000-0000-0000B60F0000}"/>
    <cellStyle name="輸出 2 2 11" xfId="1979" xr:uid="{00000000-0005-0000-0000-0000B70F0000}"/>
    <cellStyle name="輸出 2 2 11 2" xfId="2601" xr:uid="{00000000-0005-0000-0000-0000B80F0000}"/>
    <cellStyle name="輸出 2 2 11 2 2" xfId="4191" xr:uid="{00000000-0005-0000-0000-0000B90F0000}"/>
    <cellStyle name="輸出 2 2 11 3" xfId="3717" xr:uid="{00000000-0005-0000-0000-0000BA0F0000}"/>
    <cellStyle name="輸出 2 2 12" xfId="1980" xr:uid="{00000000-0005-0000-0000-0000BB0F0000}"/>
    <cellStyle name="輸出 2 2 12 2" xfId="2602" xr:uid="{00000000-0005-0000-0000-0000BC0F0000}"/>
    <cellStyle name="輸出 2 2 12 2 2" xfId="4192" xr:uid="{00000000-0005-0000-0000-0000BD0F0000}"/>
    <cellStyle name="輸出 2 2 12 3" xfId="3718" xr:uid="{00000000-0005-0000-0000-0000BE0F0000}"/>
    <cellStyle name="輸出 2 2 13" xfId="1981" xr:uid="{00000000-0005-0000-0000-0000BF0F0000}"/>
    <cellStyle name="輸出 2 2 13 2" xfId="2603" xr:uid="{00000000-0005-0000-0000-0000C00F0000}"/>
    <cellStyle name="輸出 2 2 13 2 2" xfId="4193" xr:uid="{00000000-0005-0000-0000-0000C10F0000}"/>
    <cellStyle name="輸出 2 2 13 3" xfId="3719" xr:uid="{00000000-0005-0000-0000-0000C20F0000}"/>
    <cellStyle name="輸出 2 2 14" xfId="2599" xr:uid="{00000000-0005-0000-0000-0000C30F0000}"/>
    <cellStyle name="輸出 2 2 14 2" xfId="4189" xr:uid="{00000000-0005-0000-0000-0000C40F0000}"/>
    <cellStyle name="輸出 2 2 15" xfId="3715" xr:uid="{00000000-0005-0000-0000-0000C50F0000}"/>
    <cellStyle name="輸出 2 2 2" xfId="1982" xr:uid="{00000000-0005-0000-0000-0000C60F0000}"/>
    <cellStyle name="輸出 2 2 2 2" xfId="2604" xr:uid="{00000000-0005-0000-0000-0000C70F0000}"/>
    <cellStyle name="輸出 2 2 2 2 2" xfId="4194" xr:uid="{00000000-0005-0000-0000-0000C80F0000}"/>
    <cellStyle name="輸出 2 2 2 3" xfId="3720" xr:uid="{00000000-0005-0000-0000-0000C90F0000}"/>
    <cellStyle name="輸出 2 2 3" xfId="1983" xr:uid="{00000000-0005-0000-0000-0000CA0F0000}"/>
    <cellStyle name="輸出 2 2 3 2" xfId="2605" xr:uid="{00000000-0005-0000-0000-0000CB0F0000}"/>
    <cellStyle name="輸出 2 2 3 2 2" xfId="4195" xr:uid="{00000000-0005-0000-0000-0000CC0F0000}"/>
    <cellStyle name="輸出 2 2 3 3" xfId="3721" xr:uid="{00000000-0005-0000-0000-0000CD0F0000}"/>
    <cellStyle name="輸出 2 2 4" xfId="1984" xr:uid="{00000000-0005-0000-0000-0000CE0F0000}"/>
    <cellStyle name="輸出 2 2 4 2" xfId="2606" xr:uid="{00000000-0005-0000-0000-0000CF0F0000}"/>
    <cellStyle name="輸出 2 2 4 2 2" xfId="4196" xr:uid="{00000000-0005-0000-0000-0000D00F0000}"/>
    <cellStyle name="輸出 2 2 4 3" xfId="3722" xr:uid="{00000000-0005-0000-0000-0000D10F0000}"/>
    <cellStyle name="輸出 2 2 5" xfId="1985" xr:uid="{00000000-0005-0000-0000-0000D20F0000}"/>
    <cellStyle name="輸出 2 2 5 2" xfId="2607" xr:uid="{00000000-0005-0000-0000-0000D30F0000}"/>
    <cellStyle name="輸出 2 2 5 2 2" xfId="4197" xr:uid="{00000000-0005-0000-0000-0000D40F0000}"/>
    <cellStyle name="輸出 2 2 5 3" xfId="3723" xr:uid="{00000000-0005-0000-0000-0000D50F0000}"/>
    <cellStyle name="輸出 2 2 6" xfId="1986" xr:uid="{00000000-0005-0000-0000-0000D60F0000}"/>
    <cellStyle name="輸出 2 2 6 2" xfId="2608" xr:uid="{00000000-0005-0000-0000-0000D70F0000}"/>
    <cellStyle name="輸出 2 2 6 2 2" xfId="4198" xr:uid="{00000000-0005-0000-0000-0000D80F0000}"/>
    <cellStyle name="輸出 2 2 6 3" xfId="3724" xr:uid="{00000000-0005-0000-0000-0000D90F0000}"/>
    <cellStyle name="輸出 2 2 7" xfId="1987" xr:uid="{00000000-0005-0000-0000-0000DA0F0000}"/>
    <cellStyle name="輸出 2 2 7 2" xfId="2609" xr:uid="{00000000-0005-0000-0000-0000DB0F0000}"/>
    <cellStyle name="輸出 2 2 7 2 2" xfId="4199" xr:uid="{00000000-0005-0000-0000-0000DC0F0000}"/>
    <cellStyle name="輸出 2 2 7 3" xfId="3725" xr:uid="{00000000-0005-0000-0000-0000DD0F0000}"/>
    <cellStyle name="輸出 2 2 8" xfId="1988" xr:uid="{00000000-0005-0000-0000-0000DE0F0000}"/>
    <cellStyle name="輸出 2 2 8 2" xfId="2610" xr:uid="{00000000-0005-0000-0000-0000DF0F0000}"/>
    <cellStyle name="輸出 2 2 8 2 2" xfId="4200" xr:uid="{00000000-0005-0000-0000-0000E00F0000}"/>
    <cellStyle name="輸出 2 2 8 3" xfId="3726" xr:uid="{00000000-0005-0000-0000-0000E10F0000}"/>
    <cellStyle name="輸出 2 2 9" xfId="1989" xr:uid="{00000000-0005-0000-0000-0000E20F0000}"/>
    <cellStyle name="輸出 2 2 9 2" xfId="2611" xr:uid="{00000000-0005-0000-0000-0000E30F0000}"/>
    <cellStyle name="輸出 2 2 9 2 2" xfId="4201" xr:uid="{00000000-0005-0000-0000-0000E40F0000}"/>
    <cellStyle name="輸出 2 2 9 3" xfId="3727" xr:uid="{00000000-0005-0000-0000-0000E50F0000}"/>
    <cellStyle name="輸出 2 3" xfId="1990" xr:uid="{00000000-0005-0000-0000-0000E60F0000}"/>
    <cellStyle name="輸出 2 3 2" xfId="2612" xr:uid="{00000000-0005-0000-0000-0000E70F0000}"/>
    <cellStyle name="輸出 2 3 2 2" xfId="4202" xr:uid="{00000000-0005-0000-0000-0000E80F0000}"/>
    <cellStyle name="輸出 2 3 3" xfId="3728" xr:uid="{00000000-0005-0000-0000-0000E90F0000}"/>
    <cellStyle name="輸出 2 4" xfId="2598" xr:uid="{00000000-0005-0000-0000-0000EA0F0000}"/>
    <cellStyle name="輸出 2 4 2" xfId="4188" xr:uid="{00000000-0005-0000-0000-0000EB0F0000}"/>
    <cellStyle name="輸出 2 5" xfId="3714" xr:uid="{00000000-0005-0000-0000-0000EC0F0000}"/>
    <cellStyle name="輸出 3" xfId="1991" xr:uid="{00000000-0005-0000-0000-0000ED0F0000}"/>
    <cellStyle name="輸出 3 2" xfId="1992" xr:uid="{00000000-0005-0000-0000-0000EE0F0000}"/>
    <cellStyle name="輸出 3 2 10" xfId="1993" xr:uid="{00000000-0005-0000-0000-0000EF0F0000}"/>
    <cellStyle name="輸出 3 2 10 2" xfId="2615" xr:uid="{00000000-0005-0000-0000-0000F00F0000}"/>
    <cellStyle name="輸出 3 2 10 2 2" xfId="4205" xr:uid="{00000000-0005-0000-0000-0000F10F0000}"/>
    <cellStyle name="輸出 3 2 10 3" xfId="3731" xr:uid="{00000000-0005-0000-0000-0000F20F0000}"/>
    <cellStyle name="輸出 3 2 11" xfId="1994" xr:uid="{00000000-0005-0000-0000-0000F30F0000}"/>
    <cellStyle name="輸出 3 2 11 2" xfId="2616" xr:uid="{00000000-0005-0000-0000-0000F40F0000}"/>
    <cellStyle name="輸出 3 2 11 2 2" xfId="4206" xr:uid="{00000000-0005-0000-0000-0000F50F0000}"/>
    <cellStyle name="輸出 3 2 11 3" xfId="3732" xr:uid="{00000000-0005-0000-0000-0000F60F0000}"/>
    <cellStyle name="輸出 3 2 12" xfId="1995" xr:uid="{00000000-0005-0000-0000-0000F70F0000}"/>
    <cellStyle name="輸出 3 2 12 2" xfId="2617" xr:uid="{00000000-0005-0000-0000-0000F80F0000}"/>
    <cellStyle name="輸出 3 2 12 2 2" xfId="4207" xr:uid="{00000000-0005-0000-0000-0000F90F0000}"/>
    <cellStyle name="輸出 3 2 12 3" xfId="3733" xr:uid="{00000000-0005-0000-0000-0000FA0F0000}"/>
    <cellStyle name="輸出 3 2 13" xfId="1996" xr:uid="{00000000-0005-0000-0000-0000FB0F0000}"/>
    <cellStyle name="輸出 3 2 13 2" xfId="2618" xr:uid="{00000000-0005-0000-0000-0000FC0F0000}"/>
    <cellStyle name="輸出 3 2 13 2 2" xfId="4208" xr:uid="{00000000-0005-0000-0000-0000FD0F0000}"/>
    <cellStyle name="輸出 3 2 13 3" xfId="3734" xr:uid="{00000000-0005-0000-0000-0000FE0F0000}"/>
    <cellStyle name="輸出 3 2 14" xfId="2614" xr:uid="{00000000-0005-0000-0000-0000FF0F0000}"/>
    <cellStyle name="輸出 3 2 14 2" xfId="4204" xr:uid="{00000000-0005-0000-0000-000000100000}"/>
    <cellStyle name="輸出 3 2 15" xfId="3730" xr:uid="{00000000-0005-0000-0000-000001100000}"/>
    <cellStyle name="輸出 3 2 2" xfId="1997" xr:uid="{00000000-0005-0000-0000-000002100000}"/>
    <cellStyle name="輸出 3 2 2 2" xfId="2619" xr:uid="{00000000-0005-0000-0000-000003100000}"/>
    <cellStyle name="輸出 3 2 2 2 2" xfId="4209" xr:uid="{00000000-0005-0000-0000-000004100000}"/>
    <cellStyle name="輸出 3 2 2 3" xfId="3735" xr:uid="{00000000-0005-0000-0000-000005100000}"/>
    <cellStyle name="輸出 3 2 3" xfId="1998" xr:uid="{00000000-0005-0000-0000-000006100000}"/>
    <cellStyle name="輸出 3 2 3 2" xfId="2620" xr:uid="{00000000-0005-0000-0000-000007100000}"/>
    <cellStyle name="輸出 3 2 3 2 2" xfId="4210" xr:uid="{00000000-0005-0000-0000-000008100000}"/>
    <cellStyle name="輸出 3 2 3 3" xfId="3736" xr:uid="{00000000-0005-0000-0000-000009100000}"/>
    <cellStyle name="輸出 3 2 4" xfId="1999" xr:uid="{00000000-0005-0000-0000-00000A100000}"/>
    <cellStyle name="輸出 3 2 4 2" xfId="2621" xr:uid="{00000000-0005-0000-0000-00000B100000}"/>
    <cellStyle name="輸出 3 2 4 2 2" xfId="4211" xr:uid="{00000000-0005-0000-0000-00000C100000}"/>
    <cellStyle name="輸出 3 2 4 3" xfId="3737" xr:uid="{00000000-0005-0000-0000-00000D100000}"/>
    <cellStyle name="輸出 3 2 5" xfId="2000" xr:uid="{00000000-0005-0000-0000-00000E100000}"/>
    <cellStyle name="輸出 3 2 5 2" xfId="2622" xr:uid="{00000000-0005-0000-0000-00000F100000}"/>
    <cellStyle name="輸出 3 2 5 2 2" xfId="4212" xr:uid="{00000000-0005-0000-0000-000010100000}"/>
    <cellStyle name="輸出 3 2 5 3" xfId="3738" xr:uid="{00000000-0005-0000-0000-000011100000}"/>
    <cellStyle name="輸出 3 2 6" xfId="2001" xr:uid="{00000000-0005-0000-0000-000012100000}"/>
    <cellStyle name="輸出 3 2 6 2" xfId="2623" xr:uid="{00000000-0005-0000-0000-000013100000}"/>
    <cellStyle name="輸出 3 2 6 2 2" xfId="4213" xr:uid="{00000000-0005-0000-0000-000014100000}"/>
    <cellStyle name="輸出 3 2 6 3" xfId="3739" xr:uid="{00000000-0005-0000-0000-000015100000}"/>
    <cellStyle name="輸出 3 2 7" xfId="2002" xr:uid="{00000000-0005-0000-0000-000016100000}"/>
    <cellStyle name="輸出 3 2 7 2" xfId="2624" xr:uid="{00000000-0005-0000-0000-000017100000}"/>
    <cellStyle name="輸出 3 2 7 2 2" xfId="4214" xr:uid="{00000000-0005-0000-0000-000018100000}"/>
    <cellStyle name="輸出 3 2 7 3" xfId="3740" xr:uid="{00000000-0005-0000-0000-000019100000}"/>
    <cellStyle name="輸出 3 2 8" xfId="2003" xr:uid="{00000000-0005-0000-0000-00001A100000}"/>
    <cellStyle name="輸出 3 2 8 2" xfId="2625" xr:uid="{00000000-0005-0000-0000-00001B100000}"/>
    <cellStyle name="輸出 3 2 8 2 2" xfId="4215" xr:uid="{00000000-0005-0000-0000-00001C100000}"/>
    <cellStyle name="輸出 3 2 8 3" xfId="3741" xr:uid="{00000000-0005-0000-0000-00001D100000}"/>
    <cellStyle name="輸出 3 2 9" xfId="2004" xr:uid="{00000000-0005-0000-0000-00001E100000}"/>
    <cellStyle name="輸出 3 2 9 2" xfId="2626" xr:uid="{00000000-0005-0000-0000-00001F100000}"/>
    <cellStyle name="輸出 3 2 9 2 2" xfId="4216" xr:uid="{00000000-0005-0000-0000-000020100000}"/>
    <cellStyle name="輸出 3 2 9 3" xfId="3742" xr:uid="{00000000-0005-0000-0000-000021100000}"/>
    <cellStyle name="輸出 3 3" xfId="2005" xr:uid="{00000000-0005-0000-0000-000022100000}"/>
    <cellStyle name="輸出 3 3 2" xfId="2627" xr:uid="{00000000-0005-0000-0000-000023100000}"/>
    <cellStyle name="輸出 3 3 2 2" xfId="4217" xr:uid="{00000000-0005-0000-0000-000024100000}"/>
    <cellStyle name="輸出 3 3 3" xfId="3743" xr:uid="{00000000-0005-0000-0000-000025100000}"/>
    <cellStyle name="輸出 3 4" xfId="2613" xr:uid="{00000000-0005-0000-0000-000026100000}"/>
    <cellStyle name="輸出 3 4 2" xfId="4203" xr:uid="{00000000-0005-0000-0000-000027100000}"/>
    <cellStyle name="輸出 3 5" xfId="3729" xr:uid="{00000000-0005-0000-0000-000028100000}"/>
    <cellStyle name="隨後的超連結" xfId="2006" xr:uid="{00000000-0005-0000-0000-000029100000}"/>
    <cellStyle name="隨後的超連結 2" xfId="2007" xr:uid="{00000000-0005-0000-0000-00002A100000}"/>
    <cellStyle name="隨後的超耣結" xfId="2008" xr:uid="{00000000-0005-0000-0000-00002B100000}"/>
    <cellStyle name="隨後的超耣結 2" xfId="2009" xr:uid="{00000000-0005-0000-0000-00002C100000}"/>
    <cellStyle name="檢查儲存格 2" xfId="2010" xr:uid="{00000000-0005-0000-0000-00002D100000}"/>
    <cellStyle name="檢查儲存格 3" xfId="2011" xr:uid="{00000000-0005-0000-0000-00002E100000}"/>
    <cellStyle name="壞 2" xfId="2012" xr:uid="{00000000-0005-0000-0000-00002F100000}"/>
    <cellStyle name="壞 3" xfId="2013" xr:uid="{00000000-0005-0000-0000-000030100000}"/>
    <cellStyle name="壞_117-Fire shutter hanger wall " xfId="2014" xr:uid="{00000000-0005-0000-0000-000031100000}"/>
    <cellStyle name="壞_130116-Remeasurement Summary" xfId="2015" xr:uid="{00000000-0005-0000-0000-000032100000}"/>
    <cellStyle name="壞_130116-Remeasurement Summary 2" xfId="2016" xr:uid="{00000000-0005-0000-0000-000033100000}"/>
    <cellStyle name="壞_130205-Remeasurement Summary" xfId="2017" xr:uid="{00000000-0005-0000-0000-000034100000}"/>
    <cellStyle name="壞_130205-Remeasurement Summary 2" xfId="2018" xr:uid="{00000000-0005-0000-0000-000035100000}"/>
    <cellStyle name="壞_130411-FTS-Measurement of External wall tile" xfId="2019" xr:uid="{00000000-0005-0000-0000-000036100000}"/>
    <cellStyle name="壞_130411-FTS-Measurement of External wall tile 2" xfId="2020" xr:uid="{00000000-0005-0000-0000-000037100000}"/>
    <cellStyle name="壞_130427-Adj.Prov.Qty of Structural(WTP)" xfId="2021" xr:uid="{00000000-0005-0000-0000-000038100000}"/>
    <cellStyle name="壞_130427-Adj.Prov.Qty of Structural(WTP) 2" xfId="2022" xr:uid="{00000000-0005-0000-0000-000039100000}"/>
    <cellStyle name="壞_130430-Adj.Prov.Qty of Structural(WTP)" xfId="2023" xr:uid="{00000000-0005-0000-0000-00003A100000}"/>
    <cellStyle name="壞_130430-Adj.Prov.Qty of Structural(WTP) 2" xfId="2024" xr:uid="{00000000-0005-0000-0000-00003B100000}"/>
    <cellStyle name="壞_130502-Adj.Prov.Qty of Structural(WTP)" xfId="2025" xr:uid="{00000000-0005-0000-0000-00003C100000}"/>
    <cellStyle name="壞_130502-Adj.Prov.Qty of Structural(WTP) 2" xfId="2026" xr:uid="{00000000-0005-0000-0000-00003D100000}"/>
    <cellStyle name="壞_144Q004 Revised layout from AI No.15" xfId="2027" xr:uid="{00000000-0005-0000-0000-00003E100000}"/>
    <cellStyle name="壞_2010.04.12 - PolyU IP No. 21" xfId="2028" xr:uid="{00000000-0005-0000-0000-00003F100000}"/>
    <cellStyle name="壞_2010.04.12 - PolyU IP No. 21 2" xfId="2029" xr:uid="{00000000-0005-0000-0000-000040100000}"/>
    <cellStyle name="壞_2010.05.10 - PolyU IP No. 22" xfId="2030" xr:uid="{00000000-0005-0000-0000-000041100000}"/>
    <cellStyle name="壞_2010.05.10 - PolyU IP No. 22 2" xfId="2031" xr:uid="{00000000-0005-0000-0000-000042100000}"/>
    <cellStyle name="壞_704BQT_C3.2.2(TA6)" xfId="2032" xr:uid="{00000000-0005-0000-0000-000043100000}"/>
    <cellStyle name="壞_704BQT_C3.2.2(TA6) 2" xfId="2033" xr:uid="{00000000-0005-0000-0000-000044100000}"/>
    <cellStyle name="壞_704BQT_C4.2.2 (TA6)" xfId="2034" xr:uid="{00000000-0005-0000-0000-000045100000}"/>
    <cellStyle name="壞_704BQT_C4.2.2 (TA6) 2" xfId="2035" xr:uid="{00000000-0005-0000-0000-000046100000}"/>
    <cellStyle name="壞_704BQT_C4.2.3 (TA6)" xfId="2036" xr:uid="{00000000-0005-0000-0000-000047100000}"/>
    <cellStyle name="壞_704BQT_C4.2.3 (TA6) 2" xfId="2037" xr:uid="{00000000-0005-0000-0000-000048100000}"/>
    <cellStyle name="壞_704BQT_C5.2.2 (TA6)" xfId="2038" xr:uid="{00000000-0005-0000-0000-000049100000}"/>
    <cellStyle name="壞_704BQT_C5.2.2 (TA6) 2" xfId="2039" xr:uid="{00000000-0005-0000-0000-00004A100000}"/>
    <cellStyle name="壞_704BQT_C5.2.3 (TA6)" xfId="2040" xr:uid="{00000000-0005-0000-0000-00004B100000}"/>
    <cellStyle name="壞_704BQT_C5.2.3 (TA6) 2" xfId="2041" xr:uid="{00000000-0005-0000-0000-00004C100000}"/>
    <cellStyle name="壞_704BQT_C6.2.2 (TA6)" xfId="2042" xr:uid="{00000000-0005-0000-0000-00004D100000}"/>
    <cellStyle name="壞_704BQT_C6.2.2 (TA6) 2" xfId="2043" xr:uid="{00000000-0005-0000-0000-00004E100000}"/>
    <cellStyle name="壞_704BQT_C6.2.3 (TA6)" xfId="2044" xr:uid="{00000000-0005-0000-0000-00004F100000}"/>
    <cellStyle name="壞_704BQT_C6.2.3 (TA6) 2" xfId="2045" xr:uid="{00000000-0005-0000-0000-000050100000}"/>
    <cellStyle name="壞_704BQT_C7.4.2 (TA6)" xfId="2046" xr:uid="{00000000-0005-0000-0000-000051100000}"/>
    <cellStyle name="壞_704BQT_C7.4.2 (TA6) 2" xfId="2047" xr:uid="{00000000-0005-0000-0000-000052100000}"/>
    <cellStyle name="壞_704BQT_C7.4.3 (TA6)" xfId="2048" xr:uid="{00000000-0005-0000-0000-000053100000}"/>
    <cellStyle name="壞_704BQT_C7.4.3 (TA6) 2" xfId="2049" xr:uid="{00000000-0005-0000-0000-000054100000}"/>
    <cellStyle name="壞_704BQT_F2.1" xfId="2050" xr:uid="{00000000-0005-0000-0000-000055100000}"/>
    <cellStyle name="壞_704BQT_F2.1 2" xfId="2051" xr:uid="{00000000-0005-0000-0000-000056100000}"/>
    <cellStyle name="壞_704BQT_F2_SUM" xfId="2052" xr:uid="{00000000-0005-0000-0000-000057100000}"/>
    <cellStyle name="壞_704BQT_F2_SUM 2" xfId="2053" xr:uid="{00000000-0005-0000-0000-000058100000}"/>
    <cellStyle name="壞_704BQT_G10.2 (TA6)" xfId="2054" xr:uid="{00000000-0005-0000-0000-000059100000}"/>
    <cellStyle name="壞_704BQT_G10.2 (TA6) 2" xfId="2055" xr:uid="{00000000-0005-0000-0000-00005A100000}"/>
    <cellStyle name="壞_704BQT_G10_SUM" xfId="2056" xr:uid="{00000000-0005-0000-0000-00005B100000}"/>
    <cellStyle name="壞_704BQT_G10_SUM 2" xfId="2057" xr:uid="{00000000-0005-0000-0000-00005C100000}"/>
    <cellStyle name="壞_704BQT_G8.1 (TA6)" xfId="2058" xr:uid="{00000000-0005-0000-0000-00005D100000}"/>
    <cellStyle name="壞_704BQT_G8.1 (TA6) 2" xfId="2059" xr:uid="{00000000-0005-0000-0000-00005E100000}"/>
    <cellStyle name="壞_A010-IP 12" xfId="2060" xr:uid="{00000000-0005-0000-0000-00005F100000}"/>
    <cellStyle name="壞_A010-IP 12 2" xfId="2061" xr:uid="{00000000-0005-0000-0000-000060100000}"/>
    <cellStyle name="壞_A010-IP 14" xfId="2062" xr:uid="{00000000-0005-0000-0000-000061100000}"/>
    <cellStyle name="壞_A010-IP 14 2" xfId="2063" xr:uid="{00000000-0005-0000-0000-000062100000}"/>
    <cellStyle name="壞_A011 - ERI and VO Summary - Master" xfId="2064" xr:uid="{00000000-0005-0000-0000-000063100000}"/>
    <cellStyle name="壞_A011 - ERI and VO Summary - Master 2" xfId="2065" xr:uid="{00000000-0005-0000-0000-000064100000}"/>
    <cellStyle name="壞_CKFC IP 3 - WTP Assessment" xfId="2066" xr:uid="{00000000-0005-0000-0000-000065100000}"/>
    <cellStyle name="壞_columns starter on 31 Jan 2011" xfId="2067" xr:uid="{00000000-0005-0000-0000-000066100000}"/>
    <cellStyle name="壞_columns starter on 31 Jan 2011 2" xfId="2068" xr:uid="{00000000-0005-0000-0000-000067100000}"/>
    <cellStyle name="壞_Cost Breakdown Table" xfId="2069" xr:uid="{00000000-0005-0000-0000-000068100000}"/>
    <cellStyle name="壞_Cost Breakdown Table 2" xfId="2070" xr:uid="{00000000-0005-0000-0000-000069100000}"/>
    <cellStyle name="壞_estimate (TQ)" xfId="2071" xr:uid="{00000000-0005-0000-0000-00006A100000}"/>
    <cellStyle name="壞_estimate (TQ) 2" xfId="2072" xr:uid="{00000000-0005-0000-0000-00006B100000}"/>
    <cellStyle name="壞_FTS-MC-IP4" xfId="2073" xr:uid="{00000000-0005-0000-0000-00006C100000}"/>
    <cellStyle name="壞_FTS-MC-IP4 2" xfId="2074" xr:uid="{00000000-0005-0000-0000-00006D100000}"/>
    <cellStyle name="壞_Ground slab &amp; G Beam on 31 Jan 2011" xfId="2075" xr:uid="{00000000-0005-0000-0000-00006E100000}"/>
    <cellStyle name="壞_Ground slab &amp; G Beam on 31 Jan 2011 2" xfId="2076" xr:uid="{00000000-0005-0000-0000-00006F100000}"/>
    <cellStyle name="壞_IP 1- by CKFC(Rev.1) - WTP assessment" xfId="2077" xr:uid="{00000000-0005-0000-0000-000070100000}"/>
    <cellStyle name="壞_IP 2 - WTP ASSESSMENT" xfId="2078" xr:uid="{00000000-0005-0000-0000-000071100000}"/>
    <cellStyle name="壞_IP 29(WTP)" xfId="2079" xr:uid="{00000000-0005-0000-0000-000072100000}"/>
    <cellStyle name="壞_IP Application 11" xfId="2080" xr:uid="{00000000-0005-0000-0000-000073100000}"/>
    <cellStyle name="壞_IP Application 11 2" xfId="2081" xr:uid="{00000000-0005-0000-0000-000074100000}"/>
    <cellStyle name="壞_IP No. 12_cert" xfId="2082" xr:uid="{00000000-0005-0000-0000-000075100000}"/>
    <cellStyle name="壞_IP11_WTP" xfId="2083" xr:uid="{00000000-0005-0000-0000-000076100000}"/>
    <cellStyle name="壞_IP11_WTP 2" xfId="2084" xr:uid="{00000000-0005-0000-0000-000077100000}"/>
    <cellStyle name="壞_IPA No.1 - WTP assessment" xfId="2085" xr:uid="{00000000-0005-0000-0000-000078100000}"/>
    <cellStyle name="壞_J318 - VO summary" xfId="2086" xr:uid="{00000000-0005-0000-0000-000079100000}"/>
    <cellStyle name="壞_J318-IP-1(WT Assessment) (To HLE)" xfId="2087" xr:uid="{00000000-0005-0000-0000-00007A100000}"/>
    <cellStyle name="壞_J318-IP-2 (WTP Assessment)" xfId="2088" xr:uid="{00000000-0005-0000-0000-00007B100000}"/>
    <cellStyle name="壞_J318-IP-3_20140201 (WTP Assessment)" xfId="2089" xr:uid="{00000000-0005-0000-0000-00007C100000}"/>
    <cellStyle name="壞_J318-IP-4_20140301 (WTP Assessment)" xfId="2090" xr:uid="{00000000-0005-0000-0000-00007D100000}"/>
    <cellStyle name="壞_J318-IP-5_20140401" xfId="2091" xr:uid="{00000000-0005-0000-0000-00007E100000}"/>
    <cellStyle name="壞_J318-IP-5_20140401(WTP Assessment)" xfId="2092" xr:uid="{00000000-0005-0000-0000-00007F100000}"/>
    <cellStyle name="壞_J3336-2011-1st-Forecast-14Feb11-David" xfId="2093" xr:uid="{00000000-0005-0000-0000-000080100000}"/>
    <cellStyle name="壞_J3336-2011-1st-Forecast-14Feb11-David 2" xfId="2094" xr:uid="{00000000-0005-0000-0000-000081100000}"/>
    <cellStyle name="壞_K I L 11200-FTS-MC-IP12 (WTP)R1" xfId="2095" xr:uid="{00000000-0005-0000-0000-000082100000}"/>
    <cellStyle name="壞_K I L 11200-FTS-MC-IP12 (WTP)R1 2" xfId="2096" xr:uid="{00000000-0005-0000-0000-000083100000}"/>
    <cellStyle name="壞_K I L 11200-FTS-MC-IP13 (AGG)" xfId="2097" xr:uid="{00000000-0005-0000-0000-000084100000}"/>
    <cellStyle name="壞_K I L 11200-FTS-MC-IP13 (AGG) 2" xfId="2098" xr:uid="{00000000-0005-0000-0000-000085100000}"/>
    <cellStyle name="壞_KIL11073 Pmt(MC)(08)(BMC)" xfId="2099" xr:uid="{00000000-0005-0000-0000-000086100000}"/>
    <cellStyle name="壞_KIL11073 Pmt(MC)(08)(BMC) 2" xfId="2100" xr:uid="{00000000-0005-0000-0000-000087100000}"/>
    <cellStyle name="壞_KIL11200-FTS-MC-IP17 (Final)" xfId="2101" xr:uid="{00000000-0005-0000-0000-000088100000}"/>
    <cellStyle name="壞_KIL11200-FTS-MC-IP17 (Final) 2" xfId="2102" xr:uid="{00000000-0005-0000-0000-000089100000}"/>
    <cellStyle name="壞_KP" xfId="2103" xr:uid="{00000000-0005-0000-0000-00008A100000}"/>
    <cellStyle name="壞_KP 2" xfId="2104" xr:uid="{00000000-0005-0000-0000-00008B100000}"/>
    <cellStyle name="壞_KP 2 2" xfId="2105" xr:uid="{00000000-0005-0000-0000-00008C100000}"/>
    <cellStyle name="壞_KP 2 3" xfId="2106" xr:uid="{00000000-0005-0000-0000-00008D100000}"/>
    <cellStyle name="壞_Measurement(Finishes) - Revised (version 3)" xfId="2107" xr:uid="{00000000-0005-0000-0000-00008E100000}"/>
    <cellStyle name="壞_Measurement(Finishes) - Revised (version 3) 2" xfId="2108" xr:uid="{00000000-0005-0000-0000-00008F100000}"/>
    <cellStyle name="壞_NSC Summary" xfId="2109" xr:uid="{00000000-0005-0000-0000-000090100000}"/>
    <cellStyle name="壞_Payment application 01" xfId="2110" xr:uid="{00000000-0005-0000-0000-000091100000}"/>
    <cellStyle name="壞_Payment application 01 2" xfId="2111" xr:uid="{00000000-0005-0000-0000-000092100000}"/>
    <cellStyle name="壞_Payment application 012" xfId="2112" xr:uid="{00000000-0005-0000-0000-000093100000}"/>
    <cellStyle name="壞_Payment application 012 2" xfId="2113" xr:uid="{00000000-0005-0000-0000-000094100000}"/>
    <cellStyle name="壞_Payment application no. 5(pmb) - WTP Assessment" xfId="2114" xr:uid="{00000000-0005-0000-0000-000095100000}"/>
    <cellStyle name="壞_RC Re-measurement (2012-12)" xfId="2115" xr:uid="{00000000-0005-0000-0000-000096100000}"/>
    <cellStyle name="壞_RC Re-measurement (2012-12) 2" xfId="2116" xr:uid="{00000000-0005-0000-0000-000097100000}"/>
    <cellStyle name="壞_SOR 4.7 Plasterer (Tower) - Adm" xfId="2117" xr:uid="{00000000-0005-0000-0000-000098100000}"/>
    <cellStyle name="壞_SOR 4.7 Plasterer (Tower) - Adm 2" xfId="2118" xr:uid="{00000000-0005-0000-0000-000099100000}"/>
    <cellStyle name="壞_Structural Remeasurement (2013.4.15)" xfId="2119" xr:uid="{00000000-0005-0000-0000-00009A100000}"/>
    <cellStyle name="壞_Structural Remeasurement (2013.4.15) 2" xfId="2120" xr:uid="{00000000-0005-0000-0000-00009B100000}"/>
    <cellStyle name="壞_Structural Remeasurement (2013.4.18)" xfId="2121" xr:uid="{00000000-0005-0000-0000-00009C100000}"/>
    <cellStyle name="壞_Structural Remeasurement (2013.4.18) 2" xfId="2122" xr:uid="{00000000-0005-0000-0000-00009D100000}"/>
    <cellStyle name="壞_SUMMARY" xfId="2123" xr:uid="{00000000-0005-0000-0000-00009E100000}"/>
    <cellStyle name="壞_SUMMARY 2" xfId="2124" xr:uid="{00000000-0005-0000-0000-00009F100000}"/>
    <cellStyle name="壞_SUMMARY 2 2" xfId="2125" xr:uid="{00000000-0005-0000-0000-0000A0100000}"/>
    <cellStyle name="壞_SUMMARY 2 3" xfId="2126" xr:uid="{00000000-0005-0000-0000-0000A1100000}"/>
    <cellStyle name="警告文本" xfId="2127" xr:uid="{00000000-0005-0000-0000-0000A2100000}"/>
    <cellStyle name="警告文本 2" xfId="2128" xr:uid="{00000000-0005-0000-0000-0000A3100000}"/>
    <cellStyle name="警告文本 3" xfId="2129" xr:uid="{00000000-0005-0000-0000-0000A4100000}"/>
    <cellStyle name="警告文字 2" xfId="2130" xr:uid="{00000000-0005-0000-0000-0000A5100000}"/>
    <cellStyle name="警告文字 3" xfId="2131" xr:uid="{00000000-0005-0000-0000-0000A61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1770529</xdr:colOff>
      <xdr:row>64</xdr:row>
      <xdr:rowOff>168088</xdr:rowOff>
    </xdr:from>
    <xdr:ext cx="184731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3588" y="1125070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IP%20Cert%20records\IP-02.pdf" TargetMode="External"/><Relationship Id="rId1" Type="http://schemas.openxmlformats.org/officeDocument/2006/relationships/hyperlink" Target="IP%20Cert%20records\IP-01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73"/>
  <sheetViews>
    <sheetView view="pageBreakPreview" zoomScale="55" zoomScaleNormal="40" zoomScaleSheetLayoutView="55" workbookViewId="0">
      <selection activeCell="D92" sqref="D92"/>
    </sheetView>
  </sheetViews>
  <sheetFormatPr defaultColWidth="9" defaultRowHeight="15.6"/>
  <cols>
    <col min="1" max="1" width="29.44140625" style="150" customWidth="1"/>
    <col min="2" max="2" width="19.6640625" style="150" bestFit="1" customWidth="1"/>
    <col min="3" max="3" width="31.21875" style="150" customWidth="1"/>
    <col min="4" max="4" width="26" style="150" bestFit="1" customWidth="1"/>
    <col min="5" max="5" width="30.21875" style="150" customWidth="1"/>
    <col min="6" max="6" width="12.21875" style="150" bestFit="1" customWidth="1"/>
    <col min="7" max="7" width="28.109375" style="151" customWidth="1"/>
    <col min="8" max="8" width="30.21875" style="150" customWidth="1"/>
    <col min="9" max="9" width="12.21875" style="150" bestFit="1" customWidth="1"/>
    <col min="10" max="10" width="28.109375" style="151" customWidth="1"/>
    <col min="11" max="16384" width="9" style="150"/>
  </cols>
  <sheetData>
    <row r="1" spans="1:10" ht="22.5" customHeight="1">
      <c r="A1" s="17" t="s">
        <v>29</v>
      </c>
    </row>
    <row r="2" spans="1:10" ht="16.5" customHeight="1">
      <c r="A2" s="152" t="s">
        <v>87</v>
      </c>
      <c r="B2" s="153"/>
      <c r="C2" s="153"/>
      <c r="D2" s="153"/>
      <c r="E2" s="153"/>
      <c r="F2" s="153"/>
      <c r="H2" s="153"/>
      <c r="I2" s="153"/>
    </row>
    <row r="3" spans="1:10">
      <c r="A3" s="154"/>
      <c r="B3" s="153"/>
      <c r="C3" s="153"/>
      <c r="D3" s="153"/>
      <c r="E3" s="153"/>
      <c r="F3" s="153"/>
      <c r="H3" s="153"/>
      <c r="I3" s="153"/>
    </row>
    <row r="4" spans="1:10" ht="17.399999999999999">
      <c r="A4" s="155" t="s">
        <v>88</v>
      </c>
      <c r="B4" s="156"/>
      <c r="C4" s="156"/>
      <c r="D4" s="156"/>
      <c r="E4" s="156"/>
      <c r="F4" s="156"/>
      <c r="H4" s="156"/>
      <c r="I4" s="156"/>
    </row>
    <row r="5" spans="1:10" ht="17.399999999999999">
      <c r="A5" s="18" t="s">
        <v>31</v>
      </c>
      <c r="B5" s="156"/>
      <c r="C5" s="156"/>
      <c r="D5" s="156"/>
      <c r="E5" s="156"/>
      <c r="F5" s="156"/>
      <c r="H5" s="156"/>
      <c r="I5" s="156"/>
    </row>
    <row r="6" spans="1:10" ht="31.2">
      <c r="A6" s="157" t="s">
        <v>89</v>
      </c>
      <c r="B6" s="157" t="s">
        <v>90</v>
      </c>
      <c r="C6" s="157" t="s">
        <v>234</v>
      </c>
      <c r="D6" s="157"/>
      <c r="E6" s="157"/>
      <c r="F6" s="157"/>
      <c r="J6" s="150"/>
    </row>
    <row r="7" spans="1:10">
      <c r="A7" s="158"/>
      <c r="B7" s="158"/>
      <c r="C7" s="158"/>
      <c r="D7" s="158"/>
      <c r="E7" s="158"/>
      <c r="F7" s="158"/>
      <c r="H7" s="158"/>
      <c r="I7" s="158"/>
    </row>
    <row r="8" spans="1:10" ht="23.25" customHeight="1">
      <c r="A8" s="159" t="s">
        <v>235</v>
      </c>
      <c r="B8" s="160" t="s">
        <v>50</v>
      </c>
      <c r="C8" s="161"/>
    </row>
    <row r="9" spans="1:10" ht="23.25" hidden="1" customHeight="1">
      <c r="A9" s="159" t="s">
        <v>236</v>
      </c>
      <c r="B9" s="160"/>
      <c r="C9" s="162"/>
      <c r="E9" s="163"/>
      <c r="H9" s="163"/>
    </row>
    <row r="10" spans="1:10" ht="23.25" hidden="1" customHeight="1">
      <c r="A10" s="159" t="s">
        <v>236</v>
      </c>
      <c r="B10" s="160"/>
      <c r="C10" s="162"/>
      <c r="E10" s="163"/>
      <c r="H10" s="163"/>
    </row>
    <row r="11" spans="1:10" ht="23.25" hidden="1" customHeight="1">
      <c r="A11" s="159"/>
      <c r="B11" s="160"/>
      <c r="C11" s="162"/>
      <c r="E11" s="163"/>
      <c r="H11" s="163"/>
    </row>
    <row r="12" spans="1:10" ht="23.25" customHeight="1">
      <c r="A12" s="159"/>
      <c r="B12" s="160"/>
      <c r="C12" s="162"/>
    </row>
    <row r="13" spans="1:10" ht="23.25" customHeight="1">
      <c r="A13" s="159" t="s">
        <v>237</v>
      </c>
      <c r="B13" s="164">
        <v>7400000</v>
      </c>
      <c r="C13" s="161"/>
    </row>
    <row r="14" spans="1:10" ht="23.25" hidden="1" customHeight="1">
      <c r="A14" s="159" t="s">
        <v>45</v>
      </c>
      <c r="B14" s="164"/>
      <c r="C14" s="164" t="s">
        <v>71</v>
      </c>
    </row>
    <row r="15" spans="1:10" ht="23.25" hidden="1" customHeight="1">
      <c r="A15" s="159" t="s">
        <v>46</v>
      </c>
      <c r="B15" s="164"/>
      <c r="C15" s="164" t="s">
        <v>72</v>
      </c>
    </row>
    <row r="16" spans="1:10" ht="23.25" hidden="1" customHeight="1">
      <c r="A16" s="159" t="s">
        <v>47</v>
      </c>
      <c r="B16" s="164"/>
      <c r="C16" s="161"/>
    </row>
    <row r="17" spans="1:5" ht="23.25" hidden="1" customHeight="1">
      <c r="A17" s="159" t="s">
        <v>48</v>
      </c>
      <c r="B17" s="164"/>
      <c r="C17" s="161"/>
    </row>
    <row r="18" spans="1:5" ht="23.25" customHeight="1" thickBot="1">
      <c r="A18" s="159" t="s">
        <v>60</v>
      </c>
      <c r="B18" s="165">
        <f>SUM(B13:B17)</f>
        <v>7400000</v>
      </c>
      <c r="C18" s="161"/>
      <c r="D18" s="166"/>
    </row>
    <row r="19" spans="1:5" ht="16.2" thickTop="1">
      <c r="A19" s="159"/>
      <c r="B19" s="167"/>
      <c r="C19" s="164"/>
      <c r="D19" s="166"/>
    </row>
    <row r="20" spans="1:5">
      <c r="A20" s="159"/>
      <c r="B20" s="168"/>
      <c r="C20" s="161"/>
      <c r="D20" s="166"/>
    </row>
    <row r="21" spans="1:5" hidden="1">
      <c r="A21" s="159" t="s">
        <v>236</v>
      </c>
      <c r="B21" s="160" t="s">
        <v>91</v>
      </c>
      <c r="C21" s="162"/>
      <c r="D21" s="166"/>
    </row>
    <row r="22" spans="1:5" ht="23.25" hidden="1" customHeight="1">
      <c r="A22" s="159" t="s">
        <v>45</v>
      </c>
      <c r="B22" s="227">
        <f>'Project Summary'!J13</f>
        <v>1900000</v>
      </c>
      <c r="C22" s="227" t="s">
        <v>92</v>
      </c>
      <c r="D22" s="228" t="s">
        <v>93</v>
      </c>
      <c r="E22" s="156" t="s">
        <v>75</v>
      </c>
    </row>
    <row r="23" spans="1:5" ht="23.25" hidden="1" customHeight="1">
      <c r="A23" s="159" t="s">
        <v>46</v>
      </c>
      <c r="B23" s="227">
        <f>'Project Summary'!J11</f>
        <v>800000</v>
      </c>
      <c r="C23" s="227" t="s">
        <v>94</v>
      </c>
      <c r="D23" s="228" t="s">
        <v>95</v>
      </c>
      <c r="E23" s="156" t="s">
        <v>96</v>
      </c>
    </row>
    <row r="24" spans="1:5" ht="23.25" hidden="1" customHeight="1">
      <c r="A24" s="159" t="s">
        <v>47</v>
      </c>
      <c r="B24" s="227">
        <f>'Project Summary'!J26+'Project Summary'!J27</f>
        <v>1212880</v>
      </c>
      <c r="C24" s="227" t="s">
        <v>97</v>
      </c>
      <c r="D24" s="228" t="s">
        <v>333</v>
      </c>
      <c r="E24" s="156" t="s">
        <v>335</v>
      </c>
    </row>
    <row r="25" spans="1:5" ht="23.25" hidden="1" customHeight="1">
      <c r="A25" s="159" t="s">
        <v>48</v>
      </c>
      <c r="B25" s="164">
        <f>'Project Summary'!J16</f>
        <v>800000</v>
      </c>
      <c r="C25" s="164" t="s">
        <v>98</v>
      </c>
      <c r="D25" s="160" t="s">
        <v>99</v>
      </c>
      <c r="E25" s="150" t="s">
        <v>73</v>
      </c>
    </row>
    <row r="26" spans="1:5" ht="23.25" hidden="1" customHeight="1">
      <c r="A26" s="159" t="s">
        <v>49</v>
      </c>
      <c r="B26" s="164">
        <f>'Project Summary'!J23+'Project Summary'!J24</f>
        <v>15500</v>
      </c>
      <c r="C26" s="164" t="s">
        <v>334</v>
      </c>
      <c r="D26" s="160" t="s">
        <v>331</v>
      </c>
      <c r="E26" s="150" t="s">
        <v>332</v>
      </c>
    </row>
    <row r="27" spans="1:5" ht="23.25" hidden="1" customHeight="1">
      <c r="A27" s="159" t="s">
        <v>330</v>
      </c>
      <c r="B27" s="164"/>
      <c r="C27" s="164"/>
      <c r="D27" s="160"/>
    </row>
    <row r="28" spans="1:5" ht="23.25" hidden="1" customHeight="1">
      <c r="A28" s="159"/>
      <c r="B28" s="164"/>
      <c r="C28" s="164"/>
      <c r="D28" s="160"/>
    </row>
    <row r="29" spans="1:5" ht="23.25" hidden="1" customHeight="1">
      <c r="A29" s="159"/>
      <c r="B29" s="164"/>
      <c r="C29" s="164"/>
      <c r="D29" s="166"/>
    </row>
    <row r="30" spans="1:5" ht="23.25" hidden="1" customHeight="1" thickBot="1">
      <c r="A30" s="159" t="s">
        <v>61</v>
      </c>
      <c r="B30" s="165">
        <f>SUM(B22:B29)</f>
        <v>4728380</v>
      </c>
      <c r="C30" s="161"/>
      <c r="D30" s="166"/>
    </row>
    <row r="31" spans="1:5" ht="16.2" hidden="1" thickTop="1">
      <c r="A31" s="159"/>
      <c r="B31" s="169"/>
      <c r="C31" s="162"/>
      <c r="D31" s="166"/>
    </row>
    <row r="32" spans="1:5" ht="27" hidden="1" customHeight="1">
      <c r="A32" s="159" t="s">
        <v>238</v>
      </c>
      <c r="B32" s="170">
        <f>B18-B30</f>
        <v>2671620</v>
      </c>
      <c r="C32" s="162"/>
      <c r="D32" s="166"/>
    </row>
    <row r="33" spans="1:9" hidden="1">
      <c r="A33" s="159" t="s">
        <v>51</v>
      </c>
      <c r="B33" s="171">
        <f>'Project Summary'!J9</f>
        <v>44360</v>
      </c>
      <c r="C33" s="172" t="s">
        <v>230</v>
      </c>
      <c r="D33" s="226" t="s">
        <v>232</v>
      </c>
      <c r="E33" s="156" t="s">
        <v>180</v>
      </c>
      <c r="F33" s="173"/>
      <c r="I33" s="173"/>
    </row>
    <row r="34" spans="1:9" hidden="1">
      <c r="A34" s="159" t="s">
        <v>51</v>
      </c>
      <c r="B34" s="207">
        <f>'Project Summary'!J14</f>
        <v>15000</v>
      </c>
      <c r="C34" s="208" t="s">
        <v>249</v>
      </c>
      <c r="D34" s="209" t="s">
        <v>233</v>
      </c>
      <c r="E34" s="210" t="s">
        <v>112</v>
      </c>
      <c r="F34" s="173"/>
      <c r="I34" s="173"/>
    </row>
    <row r="35" spans="1:9" hidden="1">
      <c r="A35" s="159" t="s">
        <v>51</v>
      </c>
      <c r="B35" s="164">
        <f>'Project Summary'!J17</f>
        <v>83000</v>
      </c>
      <c r="C35" s="164" t="s">
        <v>118</v>
      </c>
      <c r="D35" s="160" t="s">
        <v>99</v>
      </c>
      <c r="E35" s="150" t="s">
        <v>117</v>
      </c>
      <c r="F35" s="175"/>
      <c r="I35" s="175"/>
    </row>
    <row r="36" spans="1:9" hidden="1">
      <c r="A36" s="159" t="s">
        <v>51</v>
      </c>
      <c r="B36" s="164">
        <f>'Project Summary'!J18</f>
        <v>27242.5</v>
      </c>
      <c r="C36" s="164" t="s">
        <v>160</v>
      </c>
      <c r="D36" s="160" t="s">
        <v>328</v>
      </c>
      <c r="E36" s="150" t="s">
        <v>119</v>
      </c>
      <c r="F36" s="173"/>
      <c r="I36" s="173"/>
    </row>
    <row r="37" spans="1:9" hidden="1">
      <c r="A37" s="159" t="s">
        <v>51</v>
      </c>
      <c r="B37" s="164">
        <f>'Project Summary'!J19+'Project Summary'!J21</f>
        <v>284000</v>
      </c>
      <c r="C37" s="164" t="s">
        <v>127</v>
      </c>
      <c r="D37" s="160" t="s">
        <v>126</v>
      </c>
      <c r="E37" s="150" t="s">
        <v>329</v>
      </c>
      <c r="F37" s="176"/>
      <c r="I37" s="176"/>
    </row>
    <row r="38" spans="1:9" hidden="1">
      <c r="A38" s="159" t="s">
        <v>51</v>
      </c>
      <c r="B38" s="164">
        <f>'Project Summary'!J22</f>
        <v>2000</v>
      </c>
      <c r="C38" s="164" t="s">
        <v>131</v>
      </c>
      <c r="D38" s="160" t="s">
        <v>130</v>
      </c>
      <c r="E38" s="150" t="s">
        <v>85</v>
      </c>
      <c r="F38" s="176"/>
      <c r="I38" s="176"/>
    </row>
    <row r="39" spans="1:9" hidden="1">
      <c r="A39" s="159" t="s">
        <v>51</v>
      </c>
      <c r="B39" s="164">
        <f>'Project Summary'!J59</f>
        <v>14006</v>
      </c>
      <c r="C39" s="164" t="s">
        <v>160</v>
      </c>
      <c r="D39" s="160" t="s">
        <v>159</v>
      </c>
      <c r="E39" s="150" t="s">
        <v>157</v>
      </c>
      <c r="F39" s="176"/>
      <c r="I39" s="176"/>
    </row>
    <row r="40" spans="1:9" hidden="1">
      <c r="A40" s="159" t="s">
        <v>51</v>
      </c>
      <c r="B40" s="164">
        <f>'Project Summary'!J60</f>
        <v>12038.9</v>
      </c>
      <c r="C40" s="164" t="s">
        <v>162</v>
      </c>
      <c r="D40" s="160"/>
      <c r="E40" s="150" t="s">
        <v>161</v>
      </c>
      <c r="F40" s="173"/>
      <c r="I40" s="173"/>
    </row>
    <row r="41" spans="1:9" hidden="1">
      <c r="A41" s="159" t="s">
        <v>51</v>
      </c>
      <c r="B41" s="164">
        <f>'Project Summary'!J61</f>
        <v>6279</v>
      </c>
      <c r="C41" s="164" t="s">
        <v>160</v>
      </c>
      <c r="D41" s="160" t="s">
        <v>165</v>
      </c>
      <c r="E41" s="150" t="s">
        <v>163</v>
      </c>
      <c r="F41" s="176"/>
      <c r="I41" s="176"/>
    </row>
    <row r="42" spans="1:9" hidden="1">
      <c r="A42" s="159" t="s">
        <v>51</v>
      </c>
      <c r="B42" s="171">
        <f>'Project Summary'!J25</f>
        <v>1640</v>
      </c>
      <c r="C42" s="172" t="s">
        <v>141</v>
      </c>
      <c r="D42" s="166" t="s">
        <v>140</v>
      </c>
      <c r="E42" s="150" t="s">
        <v>138</v>
      </c>
      <c r="F42" s="176"/>
      <c r="I42" s="176"/>
    </row>
    <row r="43" spans="1:9" hidden="1">
      <c r="A43" s="159" t="s">
        <v>51</v>
      </c>
      <c r="B43" s="164">
        <f>'Project Summary'!J62</f>
        <v>174600</v>
      </c>
      <c r="C43" s="164" t="s">
        <v>168</v>
      </c>
      <c r="D43" s="160" t="s">
        <v>167</v>
      </c>
      <c r="E43" s="150" t="s">
        <v>166</v>
      </c>
      <c r="F43" s="173"/>
      <c r="I43" s="173"/>
    </row>
    <row r="44" spans="1:9" hidden="1">
      <c r="A44" s="159" t="s">
        <v>51</v>
      </c>
      <c r="B44" s="164">
        <f>SUM('Project Summary'!J28:J46)</f>
        <v>187121.1</v>
      </c>
      <c r="C44" s="164" t="s">
        <v>149</v>
      </c>
      <c r="D44" s="160" t="s">
        <v>148</v>
      </c>
      <c r="E44" s="150" t="s">
        <v>336</v>
      </c>
      <c r="F44" s="173"/>
      <c r="I44" s="173"/>
    </row>
    <row r="45" spans="1:9" hidden="1">
      <c r="A45" s="159" t="s">
        <v>51</v>
      </c>
      <c r="B45" s="171"/>
      <c r="C45" s="172"/>
      <c r="D45" s="166"/>
      <c r="F45" s="173"/>
      <c r="I45" s="173"/>
    </row>
    <row r="46" spans="1:9" hidden="1">
      <c r="A46" s="159" t="s">
        <v>51</v>
      </c>
      <c r="B46" s="171"/>
      <c r="C46" s="172"/>
      <c r="D46" s="166"/>
      <c r="F46" s="176"/>
      <c r="I46" s="176"/>
    </row>
    <row r="47" spans="1:9" hidden="1">
      <c r="A47" s="159" t="s">
        <v>51</v>
      </c>
      <c r="B47" s="171"/>
      <c r="C47" s="172"/>
      <c r="D47" s="166"/>
      <c r="F47" s="173"/>
      <c r="I47" s="173"/>
    </row>
    <row r="48" spans="1:9" hidden="1">
      <c r="A48" s="159" t="s">
        <v>51</v>
      </c>
      <c r="B48" s="171"/>
      <c r="C48" s="172"/>
      <c r="D48" s="166"/>
      <c r="F48" s="176"/>
      <c r="I48" s="176"/>
    </row>
    <row r="49" spans="1:10" hidden="1">
      <c r="A49" s="159" t="s">
        <v>51</v>
      </c>
      <c r="B49" s="171"/>
      <c r="C49" s="172"/>
      <c r="D49" s="166"/>
      <c r="F49" s="173"/>
      <c r="G49" s="224"/>
      <c r="I49" s="173"/>
    </row>
    <row r="50" spans="1:10" hidden="1">
      <c r="A50" s="159" t="s">
        <v>51</v>
      </c>
      <c r="B50" s="174"/>
      <c r="C50" s="172"/>
      <c r="D50" s="166"/>
      <c r="E50" s="225" t="s">
        <v>337</v>
      </c>
      <c r="F50" s="176"/>
      <c r="I50" s="176"/>
    </row>
    <row r="51" spans="1:10" ht="21.75" hidden="1" customHeight="1" thickBot="1">
      <c r="A51" s="159" t="s">
        <v>62</v>
      </c>
      <c r="B51" s="165">
        <f>B32-SUM(B33:B50)</f>
        <v>1820332.5</v>
      </c>
      <c r="D51" s="166"/>
      <c r="E51" s="164">
        <v>12000</v>
      </c>
      <c r="F51" s="160" t="s">
        <v>253</v>
      </c>
    </row>
    <row r="52" spans="1:10" ht="16.2" hidden="1" thickTop="1">
      <c r="A52" s="159"/>
      <c r="B52" s="168"/>
      <c r="C52" s="177"/>
      <c r="D52" s="162"/>
      <c r="E52" s="164">
        <v>1500</v>
      </c>
      <c r="F52" s="160" t="s">
        <v>338</v>
      </c>
    </row>
    <row r="53" spans="1:10" hidden="1">
      <c r="A53" s="159" t="s">
        <v>239</v>
      </c>
      <c r="B53" s="168">
        <f>B18*10.6%</f>
        <v>784400</v>
      </c>
      <c r="C53" s="150" t="s">
        <v>64</v>
      </c>
      <c r="D53" s="162"/>
      <c r="G53" s="224"/>
    </row>
    <row r="54" spans="1:10" hidden="1">
      <c r="A54" s="178" t="s">
        <v>240</v>
      </c>
      <c r="B54" s="179">
        <f>B51-B53</f>
        <v>1035932.5</v>
      </c>
      <c r="C54" s="177"/>
      <c r="D54" s="162"/>
    </row>
    <row r="55" spans="1:10">
      <c r="A55" s="159"/>
      <c r="B55" s="180"/>
      <c r="C55" s="181"/>
      <c r="D55" s="182"/>
      <c r="E55" s="166"/>
      <c r="F55" s="166"/>
      <c r="H55" s="166"/>
      <c r="I55" s="166"/>
    </row>
    <row r="56" spans="1:10" ht="21.75" customHeight="1">
      <c r="A56" s="275" t="s">
        <v>32</v>
      </c>
      <c r="B56" s="276"/>
      <c r="C56" s="276"/>
      <c r="D56" s="276"/>
      <c r="E56" s="276"/>
      <c r="F56" s="276"/>
      <c r="G56" s="277"/>
      <c r="H56" s="278" t="s">
        <v>241</v>
      </c>
      <c r="I56" s="278"/>
      <c r="J56" s="278"/>
    </row>
    <row r="57" spans="1:10" ht="46.8">
      <c r="A57" s="183" t="s">
        <v>17</v>
      </c>
      <c r="B57" s="183" t="s">
        <v>18</v>
      </c>
      <c r="C57" s="183" t="s">
        <v>242</v>
      </c>
      <c r="D57" s="183" t="s">
        <v>243</v>
      </c>
      <c r="E57" s="183" t="s">
        <v>244</v>
      </c>
      <c r="F57" s="183" t="s">
        <v>245</v>
      </c>
      <c r="G57" s="183" t="s">
        <v>246</v>
      </c>
      <c r="H57" s="183" t="s">
        <v>247</v>
      </c>
      <c r="I57" s="92" t="s">
        <v>245</v>
      </c>
      <c r="J57" s="92" t="s">
        <v>84</v>
      </c>
    </row>
    <row r="58" spans="1:10" s="188" customFormat="1" ht="36" customHeight="1">
      <c r="A58" s="184" t="s">
        <v>2</v>
      </c>
      <c r="B58" s="185" t="s">
        <v>4</v>
      </c>
      <c r="C58" s="186" t="s">
        <v>3</v>
      </c>
      <c r="D58" s="186" t="s">
        <v>6</v>
      </c>
      <c r="E58" s="186" t="s">
        <v>16</v>
      </c>
      <c r="F58" s="186" t="s">
        <v>6</v>
      </c>
      <c r="G58" s="186" t="s">
        <v>5</v>
      </c>
      <c r="H58" s="187" t="s">
        <v>16</v>
      </c>
      <c r="I58" s="187" t="s">
        <v>6</v>
      </c>
      <c r="J58" s="187" t="s">
        <v>5</v>
      </c>
    </row>
    <row r="59" spans="1:10" s="193" customFormat="1">
      <c r="A59" s="189" t="s">
        <v>76</v>
      </c>
      <c r="B59" s="190">
        <v>45703</v>
      </c>
      <c r="C59" s="195">
        <v>286605</v>
      </c>
      <c r="D59" s="192">
        <f>SUM($C$59:C59)/$B$18</f>
        <v>3.8730405405405406E-2</v>
      </c>
      <c r="E59" s="195">
        <v>182481.3</v>
      </c>
      <c r="F59" s="192">
        <f>SUM($E$59:E59)/$B$18</f>
        <v>2.4659635135135135E-2</v>
      </c>
      <c r="G59" s="190">
        <v>45726</v>
      </c>
      <c r="H59" s="191"/>
      <c r="I59" s="192">
        <f>SUM($H$59:H59)/$B$30</f>
        <v>0</v>
      </c>
      <c r="J59" s="190"/>
    </row>
    <row r="60" spans="1:10" s="193" customFormat="1">
      <c r="A60" s="189" t="s">
        <v>77</v>
      </c>
      <c r="B60" s="190">
        <v>45733</v>
      </c>
      <c r="C60" s="195">
        <v>177763.05</v>
      </c>
      <c r="D60" s="192">
        <f>SUM($C$59:C60)/$B$18</f>
        <v>6.2752439189189185E-2</v>
      </c>
      <c r="E60" s="195">
        <v>99373.5</v>
      </c>
      <c r="F60" s="192">
        <f>SUM($E$59:E60)/$B$18</f>
        <v>3.8088486486486488E-2</v>
      </c>
      <c r="G60" s="190">
        <v>45756</v>
      </c>
      <c r="H60" s="191"/>
      <c r="I60" s="192">
        <f>SUM($H$59:H60)/$B$30</f>
        <v>0</v>
      </c>
      <c r="J60" s="190"/>
    </row>
    <row r="61" spans="1:10" s="193" customFormat="1">
      <c r="A61" s="189" t="s">
        <v>26</v>
      </c>
      <c r="B61" s="190">
        <v>45783</v>
      </c>
      <c r="C61" s="195">
        <v>278784.23</v>
      </c>
      <c r="D61" s="192">
        <f>SUM($C$59:C61)/$B$18</f>
        <v>0.10042598378378378</v>
      </c>
      <c r="E61" s="195">
        <v>249814.8</v>
      </c>
      <c r="F61" s="192">
        <f>SUM($E$59:E61)/$B$18</f>
        <v>7.1847243243243236E-2</v>
      </c>
      <c r="G61" s="194">
        <v>45806</v>
      </c>
      <c r="H61" s="191"/>
      <c r="I61" s="192">
        <f>SUM($H$59:H61)/$B$30</f>
        <v>0</v>
      </c>
      <c r="J61" s="194"/>
    </row>
    <row r="62" spans="1:10" s="193" customFormat="1">
      <c r="A62" s="189" t="s">
        <v>27</v>
      </c>
      <c r="B62" s="190">
        <v>45786</v>
      </c>
      <c r="C62" s="195">
        <v>268119.45</v>
      </c>
      <c r="D62" s="192">
        <f>SUM($C$59:C62)/$B$18</f>
        <v>0.13665834189189188</v>
      </c>
      <c r="E62" s="195">
        <v>178865.1</v>
      </c>
      <c r="F62" s="192">
        <f>SUM($E$59:E62)/$B$18</f>
        <v>9.6018202702702699E-2</v>
      </c>
      <c r="G62" s="194">
        <v>45842</v>
      </c>
      <c r="H62" s="191"/>
      <c r="I62" s="192">
        <f>SUM($H$59:H62)/$B$30</f>
        <v>0</v>
      </c>
      <c r="J62" s="194"/>
    </row>
    <row r="63" spans="1:10" s="193" customFormat="1">
      <c r="A63" s="189" t="s">
        <v>28</v>
      </c>
      <c r="B63" s="194">
        <v>45859</v>
      </c>
      <c r="C63" s="195">
        <v>848025.45</v>
      </c>
      <c r="D63" s="192">
        <f>SUM($C$59:C63)/$B$18</f>
        <v>0.25125637567567566</v>
      </c>
      <c r="E63" s="195">
        <v>557768.69999999995</v>
      </c>
      <c r="F63" s="192">
        <f>SUM($E$59:E63)/$B$18</f>
        <v>0.17139235135135134</v>
      </c>
      <c r="G63" s="194">
        <v>45881</v>
      </c>
      <c r="H63" s="191"/>
      <c r="I63" s="192">
        <f>SUM($H$59:H63)/$B$30</f>
        <v>0</v>
      </c>
      <c r="J63" s="194"/>
    </row>
    <row r="64" spans="1:10" s="193" customFormat="1">
      <c r="A64" s="189" t="s">
        <v>30</v>
      </c>
      <c r="B64" s="190">
        <v>45889</v>
      </c>
      <c r="C64" s="195">
        <v>841890.15</v>
      </c>
      <c r="D64" s="192">
        <f>SUM($C$59:C64)/$B$18</f>
        <v>0.36502531486486489</v>
      </c>
      <c r="E64" s="195">
        <v>350842.5</v>
      </c>
      <c r="F64" s="192">
        <f>SUM($E$59:E64)/$B$18</f>
        <v>0.21880349999999998</v>
      </c>
      <c r="G64" s="194">
        <v>45911</v>
      </c>
      <c r="H64" s="191"/>
      <c r="I64" s="192">
        <f>SUM($H$59:H64)/$B$30</f>
        <v>0</v>
      </c>
      <c r="J64" s="194"/>
    </row>
    <row r="65" spans="1:10" s="193" customFormat="1">
      <c r="A65" s="189" t="s">
        <v>78</v>
      </c>
      <c r="B65" s="190">
        <v>45923</v>
      </c>
      <c r="C65" s="195">
        <v>987280.43</v>
      </c>
      <c r="D65" s="192">
        <f>SUM($C$59:C65)/$B$18</f>
        <v>0.49844158918918924</v>
      </c>
      <c r="E65" s="195">
        <v>431916.3</v>
      </c>
      <c r="F65" s="192">
        <f>SUM($E$59:E65)/$B$18</f>
        <v>0.27717056756756758</v>
      </c>
      <c r="G65" s="194">
        <v>45946</v>
      </c>
      <c r="H65" s="191"/>
      <c r="I65" s="192">
        <f>SUM($H$59:H65)/$B$30</f>
        <v>0</v>
      </c>
      <c r="J65" s="194"/>
    </row>
    <row r="66" spans="1:10" s="193" customFormat="1">
      <c r="A66" s="189" t="s">
        <v>79</v>
      </c>
      <c r="B66" s="190">
        <v>45952</v>
      </c>
      <c r="C66" s="195">
        <v>1190913.53</v>
      </c>
      <c r="D66" s="192">
        <f>SUM($C$59:C66)/$B$18</f>
        <v>0.65937584999999999</v>
      </c>
      <c r="E66" s="195">
        <v>591593.4</v>
      </c>
      <c r="F66" s="192">
        <f>SUM($E$59:E66)/$B$18</f>
        <v>0.35711562162162164</v>
      </c>
      <c r="G66" s="194">
        <v>45979</v>
      </c>
      <c r="H66" s="195"/>
      <c r="I66" s="192">
        <f>SUM($H$59:H66)/$B$30</f>
        <v>0</v>
      </c>
      <c r="J66" s="194"/>
    </row>
    <row r="67" spans="1:10" s="193" customFormat="1">
      <c r="A67" s="189" t="s">
        <v>80</v>
      </c>
      <c r="B67" s="190">
        <v>46000</v>
      </c>
      <c r="C67" s="195">
        <v>2139244.9</v>
      </c>
      <c r="D67" s="192">
        <f>SUM($C$59:C67)/$B$18</f>
        <v>0.94846299864864858</v>
      </c>
      <c r="E67" s="195">
        <v>1543503.4</v>
      </c>
      <c r="F67" s="192">
        <f>SUM($E$59:E67)/$B$18</f>
        <v>0.56569716216216215</v>
      </c>
      <c r="G67" s="194">
        <v>46023</v>
      </c>
      <c r="H67" s="195"/>
      <c r="I67" s="192">
        <f>SUM($H$59:H67)/$B$30</f>
        <v>0</v>
      </c>
      <c r="J67" s="194"/>
    </row>
    <row r="68" spans="1:10" s="193" customFormat="1">
      <c r="A68" s="189" t="s">
        <v>81</v>
      </c>
      <c r="B68" s="190">
        <v>46028</v>
      </c>
      <c r="C68" s="195">
        <v>1434253.25</v>
      </c>
      <c r="D68" s="192">
        <f>SUM($C$59:C68)/$B$18</f>
        <v>1.1422810054054053</v>
      </c>
      <c r="E68" s="195">
        <v>562026</v>
      </c>
      <c r="F68" s="192">
        <f>SUM($E$59:E68)/$B$18</f>
        <v>0.64164662162162167</v>
      </c>
      <c r="G68" s="194">
        <v>46050</v>
      </c>
      <c r="H68" s="195"/>
      <c r="I68" s="192">
        <f>SUM($H$59:H68)/$B$30</f>
        <v>0</v>
      </c>
      <c r="J68" s="194"/>
    </row>
    <row r="69" spans="1:10" s="200" customFormat="1" ht="16.2" thickBot="1">
      <c r="A69" s="196"/>
      <c r="B69" s="197"/>
      <c r="C69" s="196"/>
      <c r="D69" s="198"/>
      <c r="E69" s="198">
        <f>SUM(E59:E68)</f>
        <v>4748185</v>
      </c>
      <c r="F69" s="199"/>
      <c r="G69" s="196"/>
      <c r="H69" s="198">
        <f>SUM(H59:H68)</f>
        <v>0</v>
      </c>
      <c r="I69" s="199"/>
      <c r="J69" s="196"/>
    </row>
    <row r="70" spans="1:10" ht="16.2" thickTop="1"/>
    <row r="71" spans="1:10" ht="26.4" customHeight="1">
      <c r="D71" s="159" t="s">
        <v>82</v>
      </c>
      <c r="E71" s="201">
        <f>E69</f>
        <v>4748185</v>
      </c>
      <c r="H71" s="202">
        <f>E69-H69</f>
        <v>4748185</v>
      </c>
    </row>
    <row r="72" spans="1:10" ht="26.4" customHeight="1" thickBot="1">
      <c r="A72" s="150" t="s">
        <v>0</v>
      </c>
      <c r="B72" s="203" t="s">
        <v>86</v>
      </c>
      <c r="D72" s="159" t="s">
        <v>83</v>
      </c>
      <c r="E72" s="201">
        <f>-'代支工程, 物料'!K153</f>
        <v>-5395140.25</v>
      </c>
      <c r="G72" s="150"/>
      <c r="H72" s="204"/>
      <c r="J72" s="150"/>
    </row>
    <row r="73" spans="1:10" ht="26.4" customHeight="1" thickBot="1">
      <c r="A73" s="150" t="s">
        <v>1</v>
      </c>
      <c r="B73" s="205">
        <f ca="1">NOW()</f>
        <v>46178.604034027776</v>
      </c>
      <c r="D73" s="206" t="s">
        <v>248</v>
      </c>
      <c r="E73" s="201">
        <f>SUM(E71:E72)</f>
        <v>-646955.25</v>
      </c>
      <c r="G73" s="150"/>
      <c r="J73" s="150"/>
    </row>
  </sheetData>
  <mergeCells count="2">
    <mergeCell ref="A56:G56"/>
    <mergeCell ref="H56:J56"/>
  </mergeCells>
  <phoneticPr fontId="1" type="noConversion"/>
  <hyperlinks>
    <hyperlink ref="A59" r:id="rId1" xr:uid="{00000000-0004-0000-0000-000000000000}"/>
    <hyperlink ref="A60" r:id="rId2" xr:uid="{00000000-0004-0000-0000-000001000000}"/>
  </hyperlinks>
  <pageMargins left="0.70866141732283472" right="0.70866141732283472" top="0.74803149606299213" bottom="0.74803149606299213" header="0.31496062992125984" footer="0.31496062992125984"/>
  <pageSetup paperSize="8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68"/>
  <sheetViews>
    <sheetView view="pageBreakPreview" zoomScaleNormal="100" zoomScaleSheetLayoutView="100" workbookViewId="0">
      <pane xSplit="1" ySplit="4" topLeftCell="B113" activePane="bottomRight" state="frozen"/>
      <selection pane="topRight" activeCell="B1" sqref="B1"/>
      <selection pane="bottomLeft" activeCell="A5" sqref="A5"/>
      <selection pane="bottomRight" activeCell="I124" sqref="I124"/>
    </sheetView>
  </sheetViews>
  <sheetFormatPr defaultColWidth="9" defaultRowHeight="13.2"/>
  <cols>
    <col min="1" max="1" width="6.88671875" style="36" customWidth="1"/>
    <col min="2" max="2" width="7.109375" style="36" customWidth="1"/>
    <col min="3" max="3" width="13.77734375" style="36" bestFit="1" customWidth="1"/>
    <col min="4" max="4" width="15.6640625" style="37" customWidth="1"/>
    <col min="5" max="5" width="25.21875" style="37" bestFit="1" customWidth="1"/>
    <col min="6" max="6" width="25.21875" style="37" customWidth="1"/>
    <col min="7" max="7" width="31.77734375" style="38" bestFit="1" customWidth="1"/>
    <col min="8" max="8" width="25.88671875" style="38" bestFit="1" customWidth="1"/>
    <col min="9" max="9" width="27.33203125" style="39" customWidth="1"/>
    <col min="10" max="10" width="26.6640625" style="67" bestFit="1" customWidth="1"/>
    <col min="11" max="11" width="22.109375" style="40" bestFit="1" customWidth="1"/>
    <col min="12" max="12" width="23.88671875" style="40" bestFit="1" customWidth="1"/>
    <col min="13" max="13" width="17.33203125" style="36" customWidth="1"/>
    <col min="14" max="14" width="17.33203125" style="37" customWidth="1"/>
    <col min="15" max="15" width="12.6640625" style="39" bestFit="1" customWidth="1"/>
    <col min="16" max="16" width="19.33203125" style="41" customWidth="1"/>
    <col min="17" max="17" width="9.77734375" style="39" bestFit="1" customWidth="1"/>
    <col min="18" max="18" width="14.33203125" style="39" bestFit="1" customWidth="1"/>
    <col min="19" max="16384" width="9" style="39"/>
  </cols>
  <sheetData>
    <row r="1" spans="1:19">
      <c r="A1" s="35" t="str">
        <f>Summary!A2</f>
        <v>MS_Q1241_24_kp (MTR C9644-24C Extension of Fitness Room at KBD Recreation &amp; Sports Centre)</v>
      </c>
      <c r="B1" s="35"/>
    </row>
    <row r="2" spans="1:19" ht="13.8">
      <c r="A2" s="42" t="s">
        <v>35</v>
      </c>
      <c r="B2" s="35"/>
    </row>
    <row r="3" spans="1:19">
      <c r="A3" s="43" t="s">
        <v>63</v>
      </c>
      <c r="B3" s="43"/>
    </row>
    <row r="4" spans="1:19" s="37" customFormat="1" ht="13.8">
      <c r="A4" s="44" t="s">
        <v>24</v>
      </c>
      <c r="B4" s="44" t="s">
        <v>25</v>
      </c>
      <c r="C4" s="44" t="s">
        <v>8</v>
      </c>
      <c r="D4" s="45" t="s">
        <v>9</v>
      </c>
      <c r="E4" s="46" t="s">
        <v>43</v>
      </c>
      <c r="F4" s="77" t="s">
        <v>59</v>
      </c>
      <c r="G4" s="46" t="s">
        <v>10</v>
      </c>
      <c r="H4" s="46" t="s">
        <v>20</v>
      </c>
      <c r="I4" s="45" t="s">
        <v>11</v>
      </c>
      <c r="J4" s="83" t="s">
        <v>22</v>
      </c>
      <c r="K4" s="81" t="s">
        <v>21</v>
      </c>
      <c r="L4" s="47" t="s">
        <v>23</v>
      </c>
      <c r="M4" s="48" t="s">
        <v>41</v>
      </c>
      <c r="N4" s="45" t="s">
        <v>42</v>
      </c>
      <c r="O4" s="45" t="s">
        <v>12</v>
      </c>
      <c r="P4" s="45" t="s">
        <v>13</v>
      </c>
      <c r="Q4" s="45" t="s">
        <v>15</v>
      </c>
      <c r="R4" s="49" t="s">
        <v>19</v>
      </c>
    </row>
    <row r="5" spans="1:19" s="11" customFormat="1" ht="26.4">
      <c r="A5" s="124">
        <v>1</v>
      </c>
      <c r="B5" s="34">
        <f>HYPERLINK("Z:\MePork\000 綜合\020 報價合約\Quotation\2024\MS_Q1241_24_kp (C9644-24C Extension of Fitness Room at KBD Recreation &amp; Sports Centre)\P1 - Payment\Payment records\"&amp;A5&amp;".PDF",A5)</f>
        <v>1</v>
      </c>
      <c r="C5" s="125">
        <v>45637</v>
      </c>
      <c r="D5" s="126" t="s">
        <v>179</v>
      </c>
      <c r="E5" s="124"/>
      <c r="F5" s="101" t="s">
        <v>180</v>
      </c>
      <c r="G5" s="50" t="str">
        <f>IFERROR(VLOOKUP($F5,'Project Summary'!$B$9:$M$106,3,FALSE),"")</f>
        <v>REALIFE INSURANCE BROKERS LTD.</v>
      </c>
      <c r="H5" s="50" t="str">
        <f>IFERROR(VLOOKUP($F5,'Project Summary'!$B$9:$M$106,4,FALSE),"")</f>
        <v>恒傑保險業務有限公司</v>
      </c>
      <c r="I5" s="50" t="str">
        <f>IFERROR(VLOOKUP($F5,'Project Summary'!$B$9:$M$106,5,FALSE),"")</f>
        <v>Insurance - EC</v>
      </c>
      <c r="J5" s="84">
        <f>IFERROR(VLOOKUP($F5,'Project Summary'!$B$9:$M$106,7,FALSE),"")</f>
        <v>44360</v>
      </c>
      <c r="K5" s="82">
        <v>44360</v>
      </c>
      <c r="L5" s="6">
        <f>IFERROR(J5-K5,"")</f>
        <v>0</v>
      </c>
      <c r="M5" s="51"/>
      <c r="N5" s="52"/>
      <c r="O5" s="8"/>
      <c r="P5" s="54"/>
      <c r="Q5" s="19"/>
      <c r="R5" s="53" t="s">
        <v>44</v>
      </c>
      <c r="S5" s="11" t="s">
        <v>33</v>
      </c>
    </row>
    <row r="6" spans="1:19" s="11" customFormat="1" ht="16.2">
      <c r="A6" s="124">
        <v>2</v>
      </c>
      <c r="B6" s="34">
        <f t="shared" ref="B6:B69" si="0">HYPERLINK("Z:\MePork\000 綜合\020 報價合約\Quotation\2024\MS_Q1241_24_kp (C9644-24C Extension of Fitness Room at KBD Recreation &amp; Sports Centre)\P1 - Payment\Payment records\"&amp;A6&amp;".PDF",A6)</f>
        <v>2</v>
      </c>
      <c r="C6" s="125">
        <v>45645</v>
      </c>
      <c r="D6" s="126" t="s">
        <v>181</v>
      </c>
      <c r="E6" s="124"/>
      <c r="F6" s="124" t="s">
        <v>96</v>
      </c>
      <c r="G6" s="50" t="str">
        <f>IFERROR(VLOOKUP($F6,'Project Summary'!$B$9:$M$106,3,FALSE),"")</f>
        <v>CHASE ENGINEERING LIMITED</v>
      </c>
      <c r="H6" s="50" t="str">
        <f>IFERROR(VLOOKUP($F6,'Project Summary'!$B$9:$M$106,4,FALSE),"")</f>
        <v>大同工程有限公司</v>
      </c>
      <c r="I6" s="50" t="str">
        <f>IFERROR(VLOOKUP($F6,'Project Summary'!$B$9:$M$106,5,FALSE),"")</f>
        <v>Fire Services Installation</v>
      </c>
      <c r="J6" s="84">
        <f>IFERROR(VLOOKUP($F6,'Project Summary'!$B$9:$M$106,7,FALSE),"")</f>
        <v>800000</v>
      </c>
      <c r="K6" s="82">
        <v>100000</v>
      </c>
      <c r="L6" s="6">
        <f t="shared" ref="L6:L70" si="1">IFERROR(J6-K6,"")</f>
        <v>700000</v>
      </c>
      <c r="M6" s="51"/>
      <c r="N6" s="52"/>
      <c r="O6" s="8"/>
      <c r="P6" s="54"/>
      <c r="Q6" s="19"/>
      <c r="R6" s="53"/>
    </row>
    <row r="7" spans="1:19" s="11" customFormat="1" ht="16.2">
      <c r="A7" s="124">
        <v>3</v>
      </c>
      <c r="B7" s="34">
        <f t="shared" si="0"/>
        <v>3</v>
      </c>
      <c r="C7" s="125">
        <v>45646</v>
      </c>
      <c r="D7" s="126"/>
      <c r="E7" s="124"/>
      <c r="F7" s="124" t="s">
        <v>75</v>
      </c>
      <c r="G7" s="50" t="str">
        <f>IFERROR(VLOOKUP($F7,'Project Summary'!$B$9:$M$106,3,FALSE),"")</f>
        <v>WANG FAT CONSTRUCTION CO.</v>
      </c>
      <c r="H7" s="50" t="str">
        <f>IFERROR(VLOOKUP($F7,'Project Summary'!$B$9:$M$106,4,FALSE),"")</f>
        <v>宏發建築工程公司</v>
      </c>
      <c r="I7" s="50" t="str">
        <f>IFERROR(VLOOKUP($F7,'Project Summary'!$B$9:$M$106,5,FALSE),"")</f>
        <v>Builder's Works</v>
      </c>
      <c r="J7" s="84">
        <f>IFERROR(VLOOKUP($F7,'Project Summary'!$B$9:$M$106,7,FALSE),"")</f>
        <v>1900000</v>
      </c>
      <c r="K7" s="82">
        <v>200000</v>
      </c>
      <c r="L7" s="6">
        <f t="shared" si="1"/>
        <v>1700000</v>
      </c>
      <c r="M7" s="51"/>
      <c r="N7" s="52"/>
      <c r="O7" s="8"/>
      <c r="P7" s="54"/>
      <c r="Q7" s="19"/>
      <c r="R7" s="53"/>
    </row>
    <row r="8" spans="1:19" s="11" customFormat="1" ht="16.2">
      <c r="A8" s="124">
        <v>4</v>
      </c>
      <c r="B8" s="34">
        <f t="shared" si="0"/>
        <v>4</v>
      </c>
      <c r="C8" s="125">
        <v>45642</v>
      </c>
      <c r="D8" s="126" t="s">
        <v>182</v>
      </c>
      <c r="E8" s="126"/>
      <c r="F8" s="124" t="s">
        <v>73</v>
      </c>
      <c r="G8" s="50" t="str">
        <f>IFERROR(VLOOKUP($F8,'Project Summary'!$B$9:$M$106,3,FALSE),"")</f>
        <v>YING PAK ENGINEERING COMPANY</v>
      </c>
      <c r="H8" s="50" t="str">
        <f>IFERROR(VLOOKUP($F8,'Project Summary'!$B$9:$M$106,4,FALSE),"")</f>
        <v>盈泊工程公司</v>
      </c>
      <c r="I8" s="50" t="s">
        <v>310</v>
      </c>
      <c r="J8" s="84">
        <f>IFERROR(VLOOKUP($F8,'Project Summary'!$B$9:$M$106,7,FALSE),"")</f>
        <v>800000</v>
      </c>
      <c r="K8" s="82">
        <v>150000</v>
      </c>
      <c r="L8" s="6">
        <f t="shared" si="1"/>
        <v>650000</v>
      </c>
      <c r="M8" s="51"/>
      <c r="N8" s="52"/>
      <c r="O8" s="8"/>
      <c r="P8" s="54"/>
      <c r="Q8" s="19"/>
      <c r="R8" s="53"/>
    </row>
    <row r="9" spans="1:19" s="11" customFormat="1" ht="16.2">
      <c r="A9" s="124">
        <v>5</v>
      </c>
      <c r="B9" s="34">
        <f t="shared" si="0"/>
        <v>5</v>
      </c>
      <c r="C9" s="125">
        <v>45657</v>
      </c>
      <c r="D9" s="126" t="s">
        <v>183</v>
      </c>
      <c r="E9" s="124"/>
      <c r="F9" s="124" t="s">
        <v>119</v>
      </c>
      <c r="G9" s="50" t="str">
        <f>IFERROR(VLOOKUP($F9,'Project Summary'!$B$9:$M$106,3,FALSE),"")</f>
        <v>Environmental Protection Department</v>
      </c>
      <c r="H9" s="50" t="str">
        <f>IFERROR(VLOOKUP($F9,'Project Summary'!$B$9:$M$106,4,FALSE),"")</f>
        <v>環境保護署</v>
      </c>
      <c r="I9" s="50" t="str">
        <f>IFERROR(VLOOKUP($F9,'Project Summary'!$B$9:$M$106,5,FALSE),"")</f>
        <v>Waste Dispoal</v>
      </c>
      <c r="J9" s="84">
        <f>IFERROR(VLOOKUP($F9,'Project Summary'!$B$9:$M$106,7,FALSE),"")</f>
        <v>27242.5</v>
      </c>
      <c r="K9" s="82">
        <v>15000</v>
      </c>
      <c r="L9" s="6">
        <f t="shared" si="1"/>
        <v>12242.5</v>
      </c>
      <c r="M9" s="51"/>
      <c r="N9" s="52"/>
      <c r="O9" s="8"/>
      <c r="P9" s="54"/>
      <c r="Q9" s="19"/>
      <c r="R9" s="53"/>
    </row>
    <row r="10" spans="1:19" s="11" customFormat="1" ht="26.4">
      <c r="A10" s="124">
        <v>6</v>
      </c>
      <c r="B10" s="34">
        <f t="shared" si="0"/>
        <v>6</v>
      </c>
      <c r="C10" s="125">
        <v>45659</v>
      </c>
      <c r="D10" s="126" t="s">
        <v>184</v>
      </c>
      <c r="E10" s="124"/>
      <c r="F10" s="124" t="s">
        <v>185</v>
      </c>
      <c r="G10" s="50" t="str">
        <f>IFERROR(VLOOKUP($F10,'Project Summary'!$B$9:$M$106,3,FALSE),"")</f>
        <v>FIRE EXTINGUISHER SAFETY CONSULTANT</v>
      </c>
      <c r="H10" s="50" t="str">
        <f>IFERROR(VLOOKUP($F10,'Project Summary'!$B$9:$M$106,4,FALSE),"")</f>
        <v>滅火筒安全顧問</v>
      </c>
      <c r="I10" s="50" t="str">
        <f>IFERROR(VLOOKUP($F10,'Project Summary'!$B$9:$M$106,5,FALSE),"")</f>
        <v>Safety</v>
      </c>
      <c r="J10" s="84">
        <f>IFERROR(VLOOKUP($F10,'Project Summary'!$B$9:$M$106,7,FALSE),"")</f>
        <v>272000</v>
      </c>
      <c r="K10" s="82">
        <v>7742</v>
      </c>
      <c r="L10" s="6">
        <f t="shared" si="1"/>
        <v>264258</v>
      </c>
      <c r="M10" s="51"/>
      <c r="N10" s="52"/>
      <c r="O10" s="8"/>
      <c r="P10" s="54"/>
      <c r="Q10" s="19"/>
      <c r="R10" s="53"/>
    </row>
    <row r="11" spans="1:19" s="11" customFormat="1" ht="16.2">
      <c r="A11" s="124">
        <v>7</v>
      </c>
      <c r="B11" s="34">
        <f t="shared" si="0"/>
        <v>7</v>
      </c>
      <c r="C11" s="126" t="s">
        <v>186</v>
      </c>
      <c r="D11" s="126"/>
      <c r="E11" s="124"/>
      <c r="F11" s="124" t="s">
        <v>75</v>
      </c>
      <c r="G11" s="50" t="str">
        <f>IFERROR(VLOOKUP($F11,'Project Summary'!$B$9:$M$106,3,FALSE),"")</f>
        <v>WANG FAT CONSTRUCTION CO.</v>
      </c>
      <c r="H11" s="50" t="str">
        <f>IFERROR(VLOOKUP($F11,'Project Summary'!$B$9:$M$106,4,FALSE),"")</f>
        <v>宏發建築工程公司</v>
      </c>
      <c r="I11" s="50" t="str">
        <f>IFERROR(VLOOKUP($F11,'Project Summary'!$B$9:$M$106,5,FALSE),"")</f>
        <v>Builder's Works</v>
      </c>
      <c r="J11" s="84">
        <f>IFERROR(VLOOKUP($F11,'Project Summary'!$B$9:$M$106,7,FALSE),"")</f>
        <v>1900000</v>
      </c>
      <c r="K11" s="82">
        <v>180000</v>
      </c>
      <c r="L11" s="6">
        <f t="shared" si="1"/>
        <v>1720000</v>
      </c>
      <c r="M11" s="51"/>
      <c r="N11" s="52"/>
      <c r="O11" s="8"/>
      <c r="P11" s="54"/>
      <c r="Q11" s="19"/>
      <c r="R11" s="53"/>
    </row>
    <row r="12" spans="1:19" s="11" customFormat="1" ht="16.2">
      <c r="A12" s="124">
        <v>8</v>
      </c>
      <c r="B12" s="34">
        <f t="shared" si="0"/>
        <v>8</v>
      </c>
      <c r="C12" s="125">
        <v>45690</v>
      </c>
      <c r="D12" s="126" t="s">
        <v>187</v>
      </c>
      <c r="E12" s="124"/>
      <c r="F12" s="124" t="s">
        <v>188</v>
      </c>
      <c r="G12" s="50" t="str">
        <f>IFERROR(VLOOKUP($F12,'Project Summary'!$B$9:$M$106,3,FALSE),"")</f>
        <v>MTR</v>
      </c>
      <c r="H12" s="50">
        <f>IFERROR(VLOOKUP($F12,'Project Summary'!$B$9:$M$106,4,FALSE),"")</f>
        <v>0</v>
      </c>
      <c r="I12" s="50" t="str">
        <f>IFERROR(VLOOKUP($F12,'Project Summary'!$B$9:$M$106,5,FALSE),"")</f>
        <v>CP Training</v>
      </c>
      <c r="J12" s="84">
        <f>IFERROR(VLOOKUP($F12,'Project Summary'!$B$9:$M$106,7,FALSE),"")</f>
        <v>2000</v>
      </c>
      <c r="K12" s="82">
        <v>500</v>
      </c>
      <c r="L12" s="6">
        <f t="shared" si="1"/>
        <v>1500</v>
      </c>
      <c r="M12" s="51"/>
      <c r="N12" s="52"/>
      <c r="O12" s="8"/>
      <c r="P12" s="54"/>
      <c r="Q12" s="19"/>
      <c r="R12" s="53"/>
    </row>
    <row r="13" spans="1:19" s="11" customFormat="1" ht="26.4">
      <c r="A13" s="124">
        <v>9</v>
      </c>
      <c r="B13" s="34">
        <f t="shared" si="0"/>
        <v>9</v>
      </c>
      <c r="C13" s="125">
        <v>45701</v>
      </c>
      <c r="D13" s="126" t="s">
        <v>189</v>
      </c>
      <c r="E13" s="124"/>
      <c r="F13" s="124" t="s">
        <v>185</v>
      </c>
      <c r="G13" s="50" t="str">
        <f>IFERROR(VLOOKUP($F13,'Project Summary'!$B$9:$M$106,3,FALSE),"")</f>
        <v>FIRE EXTINGUISHER SAFETY CONSULTANT</v>
      </c>
      <c r="H13" s="50" t="str">
        <f>IFERROR(VLOOKUP($F13,'Project Summary'!$B$9:$M$106,4,FALSE),"")</f>
        <v>滅火筒安全顧問</v>
      </c>
      <c r="I13" s="50" t="str">
        <f>IFERROR(VLOOKUP($F13,'Project Summary'!$B$9:$M$106,5,FALSE),"")</f>
        <v>Safety</v>
      </c>
      <c r="J13" s="84">
        <f>IFERROR(VLOOKUP($F13,'Project Summary'!$B$9:$M$106,7,FALSE),"")</f>
        <v>272000</v>
      </c>
      <c r="K13" s="82">
        <v>16000</v>
      </c>
      <c r="L13" s="6">
        <f t="shared" si="1"/>
        <v>256000</v>
      </c>
      <c r="M13" s="51"/>
      <c r="N13" s="52"/>
      <c r="O13" s="8"/>
      <c r="P13" s="54"/>
      <c r="Q13" s="19"/>
      <c r="R13" s="53"/>
    </row>
    <row r="14" spans="1:19" s="11" customFormat="1" ht="16.2">
      <c r="A14" s="124">
        <v>10</v>
      </c>
      <c r="B14" s="34">
        <f t="shared" si="0"/>
        <v>10</v>
      </c>
      <c r="C14" s="125">
        <v>45716</v>
      </c>
      <c r="D14" s="126"/>
      <c r="E14" s="124"/>
      <c r="F14" s="124" t="s">
        <v>188</v>
      </c>
      <c r="G14" s="50" t="str">
        <f>IFERROR(VLOOKUP($F14,'Project Summary'!$B$9:$M$106,3,FALSE),"")</f>
        <v>MTR</v>
      </c>
      <c r="H14" s="50">
        <f>IFERROR(VLOOKUP($F14,'Project Summary'!$B$9:$M$106,4,FALSE),"")</f>
        <v>0</v>
      </c>
      <c r="I14" s="50" t="str">
        <f>IFERROR(VLOOKUP($F14,'Project Summary'!$B$9:$M$106,5,FALSE),"")</f>
        <v>CP Training</v>
      </c>
      <c r="J14" s="84">
        <f>IFERROR(VLOOKUP($F14,'Project Summary'!$B$9:$M$106,7,FALSE),"")</f>
        <v>2000</v>
      </c>
      <c r="K14" s="82">
        <v>1000</v>
      </c>
      <c r="L14" s="6">
        <f t="shared" si="1"/>
        <v>1000</v>
      </c>
      <c r="M14" s="51"/>
      <c r="N14" s="52"/>
      <c r="O14" s="8"/>
      <c r="P14" s="54"/>
      <c r="Q14" s="19"/>
      <c r="R14" s="53"/>
    </row>
    <row r="15" spans="1:19" s="11" customFormat="1" ht="26.4">
      <c r="A15" s="124">
        <v>11</v>
      </c>
      <c r="B15" s="34">
        <f t="shared" si="0"/>
        <v>11</v>
      </c>
      <c r="C15" s="125">
        <v>45726</v>
      </c>
      <c r="D15" s="126" t="s">
        <v>190</v>
      </c>
      <c r="E15" s="124"/>
      <c r="F15" s="124" t="s">
        <v>185</v>
      </c>
      <c r="G15" s="50" t="str">
        <f>IFERROR(VLOOKUP($F15,'Project Summary'!$B$9:$M$106,3,FALSE),"")</f>
        <v>FIRE EXTINGUISHER SAFETY CONSULTANT</v>
      </c>
      <c r="H15" s="50" t="str">
        <f>IFERROR(VLOOKUP($F15,'Project Summary'!$B$9:$M$106,4,FALSE),"")</f>
        <v>滅火筒安全顧問</v>
      </c>
      <c r="I15" s="50" t="str">
        <f>IFERROR(VLOOKUP($F15,'Project Summary'!$B$9:$M$106,5,FALSE),"")</f>
        <v>Safety</v>
      </c>
      <c r="J15" s="84">
        <f>IFERROR(VLOOKUP($F15,'Project Summary'!$B$9:$M$106,7,FALSE),"")</f>
        <v>272000</v>
      </c>
      <c r="K15" s="82">
        <v>16000</v>
      </c>
      <c r="L15" s="6">
        <f>IFERROR(J15-K15,"")</f>
        <v>256000</v>
      </c>
      <c r="M15" s="51"/>
      <c r="N15" s="52"/>
      <c r="O15" s="8"/>
      <c r="P15" s="54"/>
      <c r="Q15" s="19"/>
      <c r="R15" s="53"/>
    </row>
    <row r="16" spans="1:19" s="148" customFormat="1" ht="16.2">
      <c r="A16" s="127">
        <v>12</v>
      </c>
      <c r="B16" s="34">
        <f t="shared" si="0"/>
        <v>12</v>
      </c>
      <c r="C16" s="128">
        <v>45735</v>
      </c>
      <c r="D16" s="129" t="s">
        <v>191</v>
      </c>
      <c r="E16" s="127"/>
      <c r="F16" s="127" t="s">
        <v>192</v>
      </c>
      <c r="G16" s="141" t="str">
        <f>IFERROR(VLOOKUP($F16,'Project Summary'!$B$9:$M$106,3,FALSE),"")</f>
        <v>UCMG</v>
      </c>
      <c r="H16" s="141" t="str">
        <f>IFERROR(VLOOKUP($F16,'Project Summary'!$B$9:$M$106,4,FALSE),"")</f>
        <v>聯康醫療</v>
      </c>
      <c r="I16" s="141" t="str">
        <f>IFERROR(VLOOKUP($F16,'Project Summary'!$B$9:$M$106,5,FALSE),"")</f>
        <v>Body Check</v>
      </c>
      <c r="J16" s="84">
        <f>IFERROR(VLOOKUP($F16,'Project Summary'!$B$9:$M$106,7,FALSE),"")</f>
        <v>1640</v>
      </c>
      <c r="K16" s="139">
        <v>540</v>
      </c>
      <c r="L16" s="139">
        <f>IFERROR(J16-K16,"")</f>
        <v>1100</v>
      </c>
      <c r="M16" s="142"/>
      <c r="N16" s="143"/>
      <c r="O16" s="144"/>
      <c r="P16" s="145"/>
      <c r="Q16" s="146"/>
      <c r="R16" s="147"/>
    </row>
    <row r="17" spans="1:18" s="11" customFormat="1" ht="26.4">
      <c r="A17" s="124">
        <v>13</v>
      </c>
      <c r="B17" s="34">
        <f t="shared" si="0"/>
        <v>13</v>
      </c>
      <c r="C17" s="125">
        <v>45748</v>
      </c>
      <c r="D17" s="126" t="s">
        <v>193</v>
      </c>
      <c r="E17" s="124"/>
      <c r="F17" s="124" t="s">
        <v>185</v>
      </c>
      <c r="G17" s="50" t="str">
        <f>IFERROR(VLOOKUP($F17,'Project Summary'!$B$9:$M$106,3,FALSE),"")</f>
        <v>FIRE EXTINGUISHER SAFETY CONSULTANT</v>
      </c>
      <c r="H17" s="50" t="str">
        <f>IFERROR(VLOOKUP($F17,'Project Summary'!$B$9:$M$106,4,FALSE),"")</f>
        <v>滅火筒安全顧問</v>
      </c>
      <c r="I17" s="50" t="str">
        <f>IFERROR(VLOOKUP($F17,'Project Summary'!$B$9:$M$106,5,FALSE),"")</f>
        <v>Safety</v>
      </c>
      <c r="J17" s="84">
        <f>IFERROR(VLOOKUP($F17,'Project Summary'!$B$9:$M$106,7,FALSE),"")</f>
        <v>272000</v>
      </c>
      <c r="K17" s="82">
        <v>16000</v>
      </c>
      <c r="L17" s="6">
        <f t="shared" ref="L17" si="2">IFERROR(J17-K17,"")</f>
        <v>256000</v>
      </c>
      <c r="M17" s="51"/>
      <c r="N17" s="52"/>
      <c r="O17" s="8"/>
      <c r="P17" s="54"/>
      <c r="Q17" s="19"/>
      <c r="R17" s="53"/>
    </row>
    <row r="18" spans="1:18" s="11" customFormat="1" ht="16.2">
      <c r="A18" s="124">
        <v>14</v>
      </c>
      <c r="B18" s="34">
        <f t="shared" si="0"/>
        <v>14</v>
      </c>
      <c r="C18" s="125">
        <v>45763</v>
      </c>
      <c r="D18" s="130" t="s">
        <v>194</v>
      </c>
      <c r="E18" s="124"/>
      <c r="F18" s="124" t="s">
        <v>192</v>
      </c>
      <c r="G18" s="50" t="str">
        <f>IFERROR(VLOOKUP($F18,'Project Summary'!$B$9:$M$106,3,FALSE),"")</f>
        <v>UCMG</v>
      </c>
      <c r="H18" s="50" t="str">
        <f>IFERROR(VLOOKUP($F18,'Project Summary'!$B$9:$M$106,4,FALSE),"")</f>
        <v>聯康醫療</v>
      </c>
      <c r="I18" s="50" t="str">
        <f>IFERROR(VLOOKUP($F18,'Project Summary'!$B$9:$M$106,5,FALSE),"")</f>
        <v>Body Check</v>
      </c>
      <c r="J18" s="84">
        <f>IFERROR(VLOOKUP($F18,'Project Summary'!$B$9:$M$106,7,FALSE),"")</f>
        <v>1640</v>
      </c>
      <c r="K18" s="82">
        <v>270</v>
      </c>
      <c r="L18" s="6">
        <f t="shared" si="1"/>
        <v>1370</v>
      </c>
      <c r="M18" s="51"/>
      <c r="N18" s="52"/>
      <c r="O18" s="8"/>
      <c r="P18" s="54"/>
      <c r="Q18" s="19"/>
      <c r="R18" s="53"/>
    </row>
    <row r="19" spans="1:18" s="11" customFormat="1" ht="26.4">
      <c r="A19" s="124">
        <v>15</v>
      </c>
      <c r="B19" s="34">
        <f t="shared" si="0"/>
        <v>15</v>
      </c>
      <c r="C19" s="125">
        <v>45749</v>
      </c>
      <c r="D19" s="130" t="s">
        <v>195</v>
      </c>
      <c r="E19" s="131"/>
      <c r="F19" s="131" t="s">
        <v>196</v>
      </c>
      <c r="G19" s="50" t="str">
        <f>IFERROR(VLOOKUP($F19,'Project Summary'!$B$9:$M$106,3,FALSE),"")</f>
        <v>FIRE EXTINGUISHER SAFETY CONSULTANT</v>
      </c>
      <c r="H19" s="50" t="str">
        <f>IFERROR(VLOOKUP($F19,'Project Summary'!$B$9:$M$106,4,FALSE),"")</f>
        <v>滅火筒安全顧問</v>
      </c>
      <c r="I19" s="50" t="str">
        <f>IFERROR(VLOOKUP($F19,'Project Summary'!$B$9:$M$106,5,FALSE),"")</f>
        <v>Safety Review</v>
      </c>
      <c r="J19" s="84">
        <f>IFERROR(VLOOKUP($F19,'Project Summary'!$B$9:$M$106,7,FALSE),"")</f>
        <v>12000</v>
      </c>
      <c r="K19" s="82">
        <v>12000</v>
      </c>
      <c r="L19" s="6">
        <f t="shared" si="1"/>
        <v>0</v>
      </c>
      <c r="M19" s="51"/>
      <c r="N19" s="52"/>
      <c r="O19" s="8"/>
      <c r="P19" s="54"/>
      <c r="Q19" s="19"/>
      <c r="R19" s="53"/>
    </row>
    <row r="20" spans="1:18" s="11" customFormat="1" ht="16.2">
      <c r="A20" s="124">
        <v>16</v>
      </c>
      <c r="B20" s="34">
        <f t="shared" si="0"/>
        <v>16</v>
      </c>
      <c r="C20" s="125">
        <v>45785</v>
      </c>
      <c r="D20" s="130" t="s">
        <v>197</v>
      </c>
      <c r="E20" s="131"/>
      <c r="F20" s="131" t="s">
        <v>142</v>
      </c>
      <c r="G20" s="50" t="str">
        <f>IFERROR(VLOOKUP($F20,'Project Summary'!$B$9:$M$106,3,FALSE),"")</f>
        <v>CHIU MING COMPANY LIMITED</v>
      </c>
      <c r="H20" s="50" t="str">
        <f>IFERROR(VLOOKUP($F20,'Project Summary'!$B$9:$M$106,4,FALSE),"")</f>
        <v>照明工程有限公司</v>
      </c>
      <c r="I20" s="50" t="s">
        <v>385</v>
      </c>
      <c r="J20" s="84">
        <f>IFERROR(VLOOKUP($F20,'Project Summary'!$B$9:$M$106,7,FALSE),"")</f>
        <v>1100000</v>
      </c>
      <c r="K20" s="82">
        <v>126628</v>
      </c>
      <c r="L20" s="6">
        <f t="shared" si="1"/>
        <v>973372</v>
      </c>
      <c r="M20" s="51"/>
      <c r="N20" s="52"/>
      <c r="O20" s="8"/>
      <c r="P20" s="54"/>
      <c r="Q20" s="19"/>
      <c r="R20" s="53"/>
    </row>
    <row r="21" spans="1:18" s="11" customFormat="1" ht="26.4">
      <c r="A21" s="124">
        <v>17</v>
      </c>
      <c r="B21" s="34">
        <f t="shared" si="0"/>
        <v>17</v>
      </c>
      <c r="C21" s="125">
        <v>45720</v>
      </c>
      <c r="D21" s="130" t="s">
        <v>198</v>
      </c>
      <c r="E21" s="131"/>
      <c r="F21" s="131" t="s">
        <v>132</v>
      </c>
      <c r="G21" s="50" t="str">
        <f>IFERROR(VLOOKUP($F21,'Project Summary'!$B$9:$M$106,3,FALSE),"")</f>
        <v>WAH MAN ENGINEERING COMPANY</v>
      </c>
      <c r="H21" s="50" t="str">
        <f>IFERROR(VLOOKUP($F21,'Project Summary'!$B$9:$M$106,4,FALSE),"")</f>
        <v>華文工程有限公司</v>
      </c>
      <c r="I21" s="50" t="str">
        <f>IFERROR(VLOOKUP($F21,'Project Summary'!$B$9:$M$106,5,FALSE),"")</f>
        <v>Design of Hoarding</v>
      </c>
      <c r="J21" s="84">
        <f>IFERROR(VLOOKUP($F21,'Project Summary'!$B$9:$M$106,7,FALSE),"")</f>
        <v>9500</v>
      </c>
      <c r="K21" s="82">
        <v>9500</v>
      </c>
      <c r="L21" s="6">
        <f t="shared" si="1"/>
        <v>0</v>
      </c>
      <c r="M21" s="51"/>
      <c r="N21" s="52"/>
      <c r="O21" s="8"/>
      <c r="P21" s="54"/>
      <c r="Q21" s="19"/>
      <c r="R21" s="53"/>
    </row>
    <row r="22" spans="1:18" s="11" customFormat="1" ht="26.4">
      <c r="A22" s="124">
        <v>18</v>
      </c>
      <c r="B22" s="34">
        <f t="shared" si="0"/>
        <v>18</v>
      </c>
      <c r="C22" s="125">
        <v>45792</v>
      </c>
      <c r="D22" s="130" t="s">
        <v>199</v>
      </c>
      <c r="E22" s="131"/>
      <c r="F22" s="131" t="s">
        <v>185</v>
      </c>
      <c r="G22" s="50" t="str">
        <f>IFERROR(VLOOKUP($F22,'Project Summary'!$B$9:$M$106,3,FALSE),"")</f>
        <v>FIRE EXTINGUISHER SAFETY CONSULTANT</v>
      </c>
      <c r="H22" s="50" t="str">
        <f>IFERROR(VLOOKUP($F22,'Project Summary'!$B$9:$M$106,4,FALSE),"")</f>
        <v>滅火筒安全顧問</v>
      </c>
      <c r="I22" s="50" t="str">
        <f>IFERROR(VLOOKUP($F22,'Project Summary'!$B$9:$M$106,5,FALSE),"")</f>
        <v>Safety</v>
      </c>
      <c r="J22" s="84">
        <f>IFERROR(VLOOKUP($F22,'Project Summary'!$B$9:$M$106,7,FALSE),"")</f>
        <v>272000</v>
      </c>
      <c r="K22" s="82">
        <v>16000</v>
      </c>
      <c r="L22" s="6">
        <f t="shared" si="1"/>
        <v>256000</v>
      </c>
      <c r="M22" s="51"/>
      <c r="N22" s="52"/>
      <c r="O22" s="8"/>
      <c r="P22" s="54"/>
      <c r="Q22" s="19"/>
      <c r="R22" s="53"/>
    </row>
    <row r="23" spans="1:18" s="11" customFormat="1" ht="16.2">
      <c r="A23" s="124">
        <v>19</v>
      </c>
      <c r="B23" s="34">
        <f t="shared" si="0"/>
        <v>19</v>
      </c>
      <c r="C23" s="125">
        <v>45791</v>
      </c>
      <c r="D23" s="130"/>
      <c r="E23" s="131"/>
      <c r="F23" s="131" t="s">
        <v>188</v>
      </c>
      <c r="G23" s="50" t="str">
        <f>IFERROR(VLOOKUP($F23,'Project Summary'!$B$9:$M$106,3,FALSE),"")</f>
        <v>MTR</v>
      </c>
      <c r="H23" s="50">
        <f>IFERROR(VLOOKUP($F23,'Project Summary'!$B$9:$M$106,4,FALSE),"")</f>
        <v>0</v>
      </c>
      <c r="I23" s="50" t="str">
        <f>IFERROR(VLOOKUP($F23,'Project Summary'!$B$9:$M$106,5,FALSE),"")</f>
        <v>CP Training</v>
      </c>
      <c r="J23" s="84">
        <f>IFERROR(VLOOKUP($F23,'Project Summary'!$B$9:$M$106,7,FALSE),"")</f>
        <v>2000</v>
      </c>
      <c r="K23" s="82">
        <v>500</v>
      </c>
      <c r="L23" s="6">
        <f t="shared" si="1"/>
        <v>1500</v>
      </c>
      <c r="M23" s="51"/>
      <c r="N23" s="52"/>
      <c r="O23" s="8"/>
      <c r="P23" s="54"/>
      <c r="Q23" s="19"/>
      <c r="R23" s="53"/>
    </row>
    <row r="24" spans="1:18" s="11" customFormat="1" ht="26.4">
      <c r="A24" s="124">
        <v>20</v>
      </c>
      <c r="B24" s="34">
        <f t="shared" si="0"/>
        <v>20</v>
      </c>
      <c r="C24" s="125">
        <v>45818</v>
      </c>
      <c r="D24" s="125" t="s">
        <v>200</v>
      </c>
      <c r="E24" s="131"/>
      <c r="F24" s="131" t="s">
        <v>201</v>
      </c>
      <c r="G24" s="50" t="str">
        <f>IFERROR(VLOOKUP($F24,'Project Summary'!$B$9:$M$106,3,FALSE),"")</f>
        <v>CONSTRUCTION INDUSTRY COUNCIL</v>
      </c>
      <c r="H24" s="50" t="str">
        <f>IFERROR(VLOOKUP($F24,'Project Summary'!$B$9:$M$106,4,FALSE),"")</f>
        <v>建造業議會</v>
      </c>
      <c r="I24" s="50" t="str">
        <f>IFERROR(VLOOKUP($F24,'Project Summary'!$B$9:$M$106,5,FALSE),"")</f>
        <v>Levies</v>
      </c>
      <c r="J24" s="84">
        <f>IFERROR(VLOOKUP($F24,'Project Summary'!$B$9:$M$106,7,FALSE),"")</f>
        <v>14006</v>
      </c>
      <c r="K24" s="82">
        <v>1493</v>
      </c>
      <c r="L24" s="6">
        <f>IFERROR(J24-K24,"")</f>
        <v>12513</v>
      </c>
      <c r="M24" s="51"/>
      <c r="N24" s="52"/>
      <c r="O24" s="8"/>
      <c r="P24" s="54"/>
      <c r="Q24" s="19"/>
      <c r="R24" s="53"/>
    </row>
    <row r="25" spans="1:18" s="11" customFormat="1" ht="16.2">
      <c r="A25" s="124">
        <v>21</v>
      </c>
      <c r="B25" s="34">
        <f t="shared" si="0"/>
        <v>21</v>
      </c>
      <c r="C25" s="125">
        <v>45835</v>
      </c>
      <c r="D25" s="130"/>
      <c r="E25" s="131"/>
      <c r="F25" s="131" t="s">
        <v>75</v>
      </c>
      <c r="G25" s="50" t="str">
        <f>IFERROR(VLOOKUP($F25,'Project Summary'!$B$9:$M$106,3,FALSE),"")</f>
        <v>WANG FAT CONSTRUCTION CO.</v>
      </c>
      <c r="H25" s="50" t="str">
        <f>IFERROR(VLOOKUP($F25,'Project Summary'!$B$9:$M$106,4,FALSE),"")</f>
        <v>宏發建築工程公司</v>
      </c>
      <c r="I25" s="50" t="str">
        <f>IFERROR(VLOOKUP($F25,'Project Summary'!$B$9:$M$106,5,FALSE),"")</f>
        <v>Builder's Works</v>
      </c>
      <c r="J25" s="84">
        <f>IFERROR(VLOOKUP($F25,'Project Summary'!$B$9:$M$106,7,FALSE),"")</f>
        <v>1900000</v>
      </c>
      <c r="K25" s="82">
        <v>190000</v>
      </c>
      <c r="L25" s="6">
        <f t="shared" si="1"/>
        <v>1710000</v>
      </c>
      <c r="M25" s="51"/>
      <c r="N25" s="52"/>
      <c r="O25" s="8"/>
      <c r="P25" s="54"/>
      <c r="Q25" s="19"/>
      <c r="R25" s="53"/>
    </row>
    <row r="26" spans="1:18" s="11" customFormat="1" ht="16.2">
      <c r="A26" s="124">
        <v>22</v>
      </c>
      <c r="B26" s="34">
        <f t="shared" si="0"/>
        <v>22</v>
      </c>
      <c r="C26" s="125">
        <v>45835</v>
      </c>
      <c r="D26" s="130"/>
      <c r="E26" s="131"/>
      <c r="F26" s="124" t="s">
        <v>96</v>
      </c>
      <c r="G26" s="50" t="str">
        <f>IFERROR(VLOOKUP($F26,'Project Summary'!$B$9:$M$106,3,FALSE),"")</f>
        <v>CHASE ENGINEERING LIMITED</v>
      </c>
      <c r="H26" s="50" t="str">
        <f>IFERROR(VLOOKUP($F26,'Project Summary'!$B$9:$M$106,4,FALSE),"")</f>
        <v>大同工程有限公司</v>
      </c>
      <c r="I26" s="50" t="str">
        <f>IFERROR(VLOOKUP($F26,'Project Summary'!$B$9:$M$106,5,FALSE),"")</f>
        <v>Fire Services Installation</v>
      </c>
      <c r="J26" s="84">
        <f>IFERROR(VLOOKUP($F26,'Project Summary'!$B$9:$M$106,7,FALSE),"")</f>
        <v>800000</v>
      </c>
      <c r="K26" s="82">
        <v>235000</v>
      </c>
      <c r="L26" s="6">
        <f t="shared" si="1"/>
        <v>565000</v>
      </c>
      <c r="M26" s="51"/>
      <c r="N26" s="52"/>
      <c r="O26" s="8"/>
      <c r="P26" s="54"/>
      <c r="Q26" s="19"/>
      <c r="R26" s="53"/>
    </row>
    <row r="27" spans="1:18" s="11" customFormat="1" ht="26.4">
      <c r="A27" s="124">
        <v>23</v>
      </c>
      <c r="B27" s="34">
        <f t="shared" si="0"/>
        <v>23</v>
      </c>
      <c r="C27" s="125">
        <v>45821</v>
      </c>
      <c r="D27" s="130" t="s">
        <v>202</v>
      </c>
      <c r="E27" s="131"/>
      <c r="F27" s="131" t="s">
        <v>185</v>
      </c>
      <c r="G27" s="50" t="str">
        <f>IFERROR(VLOOKUP($F27,'Project Summary'!$B$9:$M$106,3,FALSE),"")</f>
        <v>FIRE EXTINGUISHER SAFETY CONSULTANT</v>
      </c>
      <c r="H27" s="50" t="str">
        <f>IFERROR(VLOOKUP($F27,'Project Summary'!$B$9:$M$106,4,FALSE),"")</f>
        <v>滅火筒安全顧問</v>
      </c>
      <c r="I27" s="50" t="str">
        <f>IFERROR(VLOOKUP($F27,'Project Summary'!$B$9:$M$106,5,FALSE),"")</f>
        <v>Safety</v>
      </c>
      <c r="J27" s="84">
        <f>IFERROR(VLOOKUP($F27,'Project Summary'!$B$9:$M$106,7,FALSE),"")</f>
        <v>272000</v>
      </c>
      <c r="K27" s="82">
        <v>16000</v>
      </c>
      <c r="L27" s="6">
        <f t="shared" si="1"/>
        <v>256000</v>
      </c>
      <c r="M27" s="51"/>
      <c r="N27" s="52"/>
      <c r="O27" s="8"/>
      <c r="P27" s="54"/>
      <c r="Q27" s="19"/>
      <c r="R27" s="53"/>
    </row>
    <row r="28" spans="1:18" s="11" customFormat="1" ht="16.2">
      <c r="A28" s="124">
        <v>24</v>
      </c>
      <c r="B28" s="34">
        <f t="shared" si="0"/>
        <v>24</v>
      </c>
      <c r="C28" s="125">
        <v>45809</v>
      </c>
      <c r="D28" s="130" t="s">
        <v>197</v>
      </c>
      <c r="E28" s="131"/>
      <c r="F28" s="131" t="s">
        <v>142</v>
      </c>
      <c r="G28" s="50" t="str">
        <f>IFERROR(VLOOKUP($F28,'Project Summary'!$B$9:$M$106,3,FALSE),"")</f>
        <v>CHIU MING COMPANY LIMITED</v>
      </c>
      <c r="H28" s="50" t="str">
        <f>IFERROR(VLOOKUP($F28,'Project Summary'!$B$9:$M$106,4,FALSE),"")</f>
        <v>照明工程有限公司</v>
      </c>
      <c r="I28" s="50" t="s">
        <v>384</v>
      </c>
      <c r="J28" s="84">
        <f>IFERROR(VLOOKUP($F28,'Project Summary'!$B$9:$M$106,7,FALSE),"")</f>
        <v>1100000</v>
      </c>
      <c r="K28" s="82">
        <v>108500</v>
      </c>
      <c r="L28" s="6">
        <f t="shared" si="1"/>
        <v>991500</v>
      </c>
      <c r="M28" s="51"/>
      <c r="N28" s="52"/>
      <c r="O28" s="8"/>
      <c r="P28" s="54"/>
      <c r="Q28" s="19"/>
      <c r="R28" s="53"/>
    </row>
    <row r="29" spans="1:18" s="11" customFormat="1" ht="16.2">
      <c r="A29" s="124">
        <v>25</v>
      </c>
      <c r="B29" s="34">
        <f t="shared" si="0"/>
        <v>25</v>
      </c>
      <c r="C29" s="125"/>
      <c r="D29" s="130"/>
      <c r="E29" s="131"/>
      <c r="F29" s="131" t="s">
        <v>161</v>
      </c>
      <c r="G29" s="50" t="str">
        <f>IFERROR(VLOOKUP($F29,'Project Summary'!$B$9:$M$106,3,FALSE),"")</f>
        <v>Miscellaneous</v>
      </c>
      <c r="H29" s="50">
        <f>IFERROR(VLOOKUP($F29,'Project Summary'!$B$9:$M$106,4,FALSE),"")</f>
        <v>0</v>
      </c>
      <c r="I29" s="50">
        <f>IFERROR(VLOOKUP($F29,'Project Summary'!$B$9:$M$106,5,FALSE),"")</f>
        <v>0</v>
      </c>
      <c r="J29" s="84">
        <f>IFERROR(VLOOKUP($F29,'Project Summary'!$B$9:$M$106,7,FALSE),"")</f>
        <v>12038.9</v>
      </c>
      <c r="K29" s="82">
        <v>1920</v>
      </c>
      <c r="L29" s="6">
        <f t="shared" si="1"/>
        <v>10118.9</v>
      </c>
      <c r="M29" s="51"/>
      <c r="N29" s="52"/>
      <c r="O29" s="8"/>
      <c r="P29" s="54"/>
      <c r="Q29" s="19"/>
      <c r="R29" s="53"/>
    </row>
    <row r="30" spans="1:18" s="11" customFormat="1" ht="26.4">
      <c r="A30" s="124">
        <v>26</v>
      </c>
      <c r="B30" s="34">
        <f t="shared" si="0"/>
        <v>26</v>
      </c>
      <c r="C30" s="125">
        <v>45832</v>
      </c>
      <c r="D30" s="130" t="s">
        <v>203</v>
      </c>
      <c r="E30" s="131"/>
      <c r="F30" s="131" t="s">
        <v>163</v>
      </c>
      <c r="G30" s="50" t="str">
        <f>IFERROR(VLOOKUP($F30,'Project Summary'!$B$9:$M$106,3,FALSE),"")</f>
        <v>PNEUMOCONIOSIS COMPENSATION FUND BOARD</v>
      </c>
      <c r="H30" s="50" t="str">
        <f>IFERROR(VLOOKUP($F30,'Project Summary'!$B$9:$M$106,4,FALSE),"")</f>
        <v>肺塵埃沉着病補償基金委員會</v>
      </c>
      <c r="I30" s="50" t="str">
        <f>IFERROR(VLOOKUP($F30,'Project Summary'!$B$9:$M$106,5,FALSE),"")</f>
        <v>Levies</v>
      </c>
      <c r="J30" s="84">
        <f>IFERROR(VLOOKUP($F30,'Project Summary'!$B$9:$M$106,7,FALSE),"")</f>
        <v>6279</v>
      </c>
      <c r="K30" s="82">
        <v>422</v>
      </c>
      <c r="L30" s="6">
        <f t="shared" si="1"/>
        <v>5857</v>
      </c>
      <c r="M30" s="51"/>
      <c r="N30" s="52"/>
      <c r="O30" s="8"/>
      <c r="P30" s="54"/>
      <c r="Q30" s="19"/>
      <c r="R30" s="53"/>
    </row>
    <row r="31" spans="1:18" s="11" customFormat="1" ht="16.2">
      <c r="A31" s="124">
        <v>27</v>
      </c>
      <c r="B31" s="34">
        <f t="shared" si="0"/>
        <v>27</v>
      </c>
      <c r="C31" s="125">
        <v>45825</v>
      </c>
      <c r="D31" s="130" t="s">
        <v>204</v>
      </c>
      <c r="E31" s="131"/>
      <c r="F31" s="131" t="s">
        <v>192</v>
      </c>
      <c r="G31" s="50" t="str">
        <f>IFERROR(VLOOKUP($F31,'Project Summary'!$B$9:$M$106,3,FALSE),"")</f>
        <v>UCMG</v>
      </c>
      <c r="H31" s="50" t="str">
        <f>IFERROR(VLOOKUP($F31,'Project Summary'!$B$9:$M$106,4,FALSE),"")</f>
        <v>聯康醫療</v>
      </c>
      <c r="I31" s="50" t="str">
        <f>IFERROR(VLOOKUP($F31,'Project Summary'!$B$9:$M$106,5,FALSE),"")</f>
        <v>Body Check</v>
      </c>
      <c r="J31" s="84">
        <f>IFERROR(VLOOKUP($F31,'Project Summary'!$B$9:$M$106,7,FALSE),"")</f>
        <v>1640</v>
      </c>
      <c r="K31" s="82">
        <v>280</v>
      </c>
      <c r="L31" s="6">
        <f t="shared" si="1"/>
        <v>1360</v>
      </c>
      <c r="M31" s="4"/>
      <c r="N31" s="5"/>
      <c r="O31" s="8"/>
      <c r="P31" s="7"/>
      <c r="Q31" s="8"/>
      <c r="R31" s="14"/>
    </row>
    <row r="32" spans="1:18" s="11" customFormat="1" ht="16.2">
      <c r="A32" s="124">
        <v>28</v>
      </c>
      <c r="B32" s="34">
        <f t="shared" si="0"/>
        <v>28</v>
      </c>
      <c r="C32" s="125">
        <v>45757</v>
      </c>
      <c r="D32" s="130" t="s">
        <v>205</v>
      </c>
      <c r="E32" s="131"/>
      <c r="F32" s="131" t="s">
        <v>206</v>
      </c>
      <c r="G32" s="50" t="str">
        <f>IFERROR(VLOOKUP($F32,'Project Summary'!$B$9:$M$106,3,FALSE),"")</f>
        <v>SHUN SHING ELECTRICALS CO. LTD</v>
      </c>
      <c r="H32" s="50" t="str">
        <f>IFERROR(VLOOKUP($F32,'Project Summary'!$B$9:$M$106,4,FALSE),"")</f>
        <v>信成電器材料有限公司</v>
      </c>
      <c r="I32" s="50" t="str">
        <f>IFERROR(VLOOKUP($F32,'Project Summary'!$B$9:$M$106,5,FALSE),"")</f>
        <v>EL - Material</v>
      </c>
      <c r="J32" s="84">
        <f>IFERROR(VLOOKUP($F32,'Project Summary'!$B$9:$M$106,7,FALSE),"")</f>
        <v>32940</v>
      </c>
      <c r="K32" s="82">
        <v>32940</v>
      </c>
      <c r="L32" s="6">
        <f t="shared" si="1"/>
        <v>0</v>
      </c>
      <c r="M32" s="4"/>
      <c r="N32" s="16"/>
      <c r="O32" s="8"/>
      <c r="P32" s="7"/>
      <c r="Q32" s="8"/>
      <c r="R32" s="14"/>
    </row>
    <row r="33" spans="1:18" s="11" customFormat="1" ht="16.2">
      <c r="A33" s="124">
        <v>29</v>
      </c>
      <c r="B33" s="34">
        <f t="shared" si="0"/>
        <v>29</v>
      </c>
      <c r="C33" s="125">
        <v>45753</v>
      </c>
      <c r="D33" s="130" t="s">
        <v>207</v>
      </c>
      <c r="E33" s="131"/>
      <c r="F33" s="131" t="s">
        <v>150</v>
      </c>
      <c r="G33" s="50" t="str">
        <f>IFERROR(VLOOKUP($F33,'Project Summary'!$B$9:$M$106,3,FALSE),"")</f>
        <v>SHUN SHING ELECTRICALS CO. LTD</v>
      </c>
      <c r="H33" s="50" t="str">
        <f>IFERROR(VLOOKUP($F33,'Project Summary'!$B$9:$M$106,4,FALSE),"")</f>
        <v>信成電器材料有限公司</v>
      </c>
      <c r="I33" s="50" t="str">
        <f>IFERROR(VLOOKUP($F33,'Project Summary'!$B$9:$M$106,5,FALSE),"")</f>
        <v>EL - Material</v>
      </c>
      <c r="J33" s="84">
        <f>IFERROR(VLOOKUP($F33,'Project Summary'!$B$9:$M$106,7,FALSE),"")</f>
        <v>39055</v>
      </c>
      <c r="K33" s="82">
        <v>39055</v>
      </c>
      <c r="L33" s="6">
        <f t="shared" si="1"/>
        <v>0</v>
      </c>
      <c r="M33" s="4"/>
      <c r="N33" s="16"/>
      <c r="O33" s="8"/>
      <c r="P33" s="7"/>
      <c r="Q33" s="8"/>
      <c r="R33" s="14"/>
    </row>
    <row r="34" spans="1:18" s="11" customFormat="1" ht="16.2">
      <c r="A34" s="124">
        <v>30</v>
      </c>
      <c r="B34" s="34">
        <f t="shared" si="0"/>
        <v>30</v>
      </c>
      <c r="C34" s="125">
        <v>45752</v>
      </c>
      <c r="D34" s="130" t="s">
        <v>208</v>
      </c>
      <c r="E34" s="131"/>
      <c r="F34" s="131" t="s">
        <v>151</v>
      </c>
      <c r="G34" s="50" t="str">
        <f>IFERROR(VLOOKUP($F34,'Project Summary'!$B$9:$M$106,3,FALSE),"")</f>
        <v>SHUN SHING ELECTRICALS CO. LTD</v>
      </c>
      <c r="H34" s="50" t="str">
        <f>IFERROR(VLOOKUP($F34,'Project Summary'!$B$9:$M$106,4,FALSE),"")</f>
        <v>信成電器材料有限公司</v>
      </c>
      <c r="I34" s="50" t="str">
        <f>IFERROR(VLOOKUP($F34,'Project Summary'!$B$9:$M$106,5,FALSE),"")</f>
        <v>EL - Material</v>
      </c>
      <c r="J34" s="84">
        <f>IFERROR(VLOOKUP($F34,'Project Summary'!$B$9:$M$106,7,FALSE),"")</f>
        <v>21960</v>
      </c>
      <c r="K34" s="82">
        <v>21960</v>
      </c>
      <c r="L34" s="6">
        <f t="shared" si="1"/>
        <v>0</v>
      </c>
      <c r="M34" s="4"/>
      <c r="N34" s="16"/>
      <c r="O34" s="8"/>
      <c r="P34" s="7"/>
      <c r="Q34" s="19"/>
      <c r="R34" s="14"/>
    </row>
    <row r="35" spans="1:18" s="11" customFormat="1" ht="16.2">
      <c r="A35" s="124">
        <v>31</v>
      </c>
      <c r="B35" s="34">
        <f t="shared" si="0"/>
        <v>31</v>
      </c>
      <c r="C35" s="125">
        <v>45775</v>
      </c>
      <c r="D35" s="130" t="s">
        <v>209</v>
      </c>
      <c r="E35" s="131"/>
      <c r="F35" s="131" t="s">
        <v>210</v>
      </c>
      <c r="G35" s="50" t="str">
        <f>IFERROR(VLOOKUP($F35,'Project Summary'!$B$9:$M$106,3,FALSE),"")</f>
        <v>SHUN SHING ELECTRICALS CO. LTD</v>
      </c>
      <c r="H35" s="50" t="str">
        <f>IFERROR(VLOOKUP($F35,'Project Summary'!$B$9:$M$106,4,FALSE),"")</f>
        <v>信成電器材料有限公司</v>
      </c>
      <c r="I35" s="50" t="str">
        <f>IFERROR(VLOOKUP($F35,'Project Summary'!$B$9:$M$106,5,FALSE),"")</f>
        <v>EL - Material</v>
      </c>
      <c r="J35" s="84">
        <f>IFERROR(VLOOKUP($F35,'Project Summary'!$B$9:$M$106,7,FALSE),"")</f>
        <v>19740</v>
      </c>
      <c r="K35" s="82">
        <v>19740</v>
      </c>
      <c r="L35" s="6">
        <f t="shared" si="1"/>
        <v>0</v>
      </c>
      <c r="M35" s="4"/>
      <c r="N35" s="16"/>
      <c r="O35" s="8"/>
      <c r="P35" s="7"/>
      <c r="Q35" s="8"/>
      <c r="R35" s="14"/>
    </row>
    <row r="36" spans="1:18" s="11" customFormat="1" ht="16.2">
      <c r="A36" s="124">
        <v>32</v>
      </c>
      <c r="B36" s="34">
        <f t="shared" si="0"/>
        <v>32</v>
      </c>
      <c r="C36" s="125">
        <v>45773</v>
      </c>
      <c r="D36" s="130" t="s">
        <v>211</v>
      </c>
      <c r="E36" s="131"/>
      <c r="F36" s="131" t="s">
        <v>212</v>
      </c>
      <c r="G36" s="50" t="str">
        <f>IFERROR(VLOOKUP($F36,'Project Summary'!$B$9:$M$106,3,FALSE),"")</f>
        <v>SHUN SHING ELECTRICALS CO. LTD</v>
      </c>
      <c r="H36" s="50" t="str">
        <f>IFERROR(VLOOKUP($F36,'Project Summary'!$B$9:$M$106,4,FALSE),"")</f>
        <v>信成電器材料有限公司</v>
      </c>
      <c r="I36" s="50" t="str">
        <f>IFERROR(VLOOKUP($F36,'Project Summary'!$B$9:$M$106,5,FALSE),"")</f>
        <v>EL - Material</v>
      </c>
      <c r="J36" s="84">
        <f>IFERROR(VLOOKUP($F36,'Project Summary'!$B$9:$M$106,7,FALSE),"")</f>
        <v>2080</v>
      </c>
      <c r="K36" s="82">
        <v>2080</v>
      </c>
      <c r="L36" s="6">
        <f t="shared" si="1"/>
        <v>0</v>
      </c>
      <c r="M36" s="4"/>
      <c r="N36" s="16"/>
      <c r="O36" s="8"/>
      <c r="P36" s="7"/>
      <c r="Q36" s="8"/>
      <c r="R36" s="14"/>
    </row>
    <row r="37" spans="1:18" s="11" customFormat="1" ht="26.4">
      <c r="A37" s="124">
        <v>33</v>
      </c>
      <c r="B37" s="34">
        <f t="shared" si="0"/>
        <v>33</v>
      </c>
      <c r="C37" s="125">
        <v>45852</v>
      </c>
      <c r="D37" s="130" t="s">
        <v>213</v>
      </c>
      <c r="E37" s="131"/>
      <c r="F37" s="131" t="s">
        <v>185</v>
      </c>
      <c r="G37" s="50" t="str">
        <f>IFERROR(VLOOKUP($F37,'Project Summary'!$B$9:$M$106,3,FALSE),"")</f>
        <v>FIRE EXTINGUISHER SAFETY CONSULTANT</v>
      </c>
      <c r="H37" s="50" t="str">
        <f>IFERROR(VLOOKUP($F37,'Project Summary'!$B$9:$M$106,4,FALSE),"")</f>
        <v>滅火筒安全顧問</v>
      </c>
      <c r="I37" s="50" t="str">
        <f>IFERROR(VLOOKUP($F37,'Project Summary'!$B$9:$M$106,5,FALSE),"")</f>
        <v>Safety</v>
      </c>
      <c r="J37" s="84">
        <f>IFERROR(VLOOKUP($F37,'Project Summary'!$B$9:$M$106,7,FALSE),"")</f>
        <v>272000</v>
      </c>
      <c r="K37" s="82">
        <v>16000</v>
      </c>
      <c r="L37" s="6">
        <f t="shared" si="1"/>
        <v>256000</v>
      </c>
      <c r="M37" s="4"/>
      <c r="N37" s="16"/>
      <c r="O37" s="8"/>
      <c r="P37" s="7"/>
      <c r="Q37" s="8"/>
      <c r="R37" s="14"/>
    </row>
    <row r="38" spans="1:18" s="11" customFormat="1" ht="16.2">
      <c r="A38" s="124">
        <v>34</v>
      </c>
      <c r="B38" s="34">
        <f t="shared" si="0"/>
        <v>34</v>
      </c>
      <c r="C38" s="125">
        <v>45855</v>
      </c>
      <c r="D38" s="130" t="s">
        <v>214</v>
      </c>
      <c r="E38" s="131"/>
      <c r="F38" s="131" t="s">
        <v>117</v>
      </c>
      <c r="G38" s="50" t="str">
        <f>IFERROR(VLOOKUP($F38,'Project Summary'!$B$9:$M$106,3,FALSE),"")</f>
        <v>YING PAK ENGINEERING COMPANY</v>
      </c>
      <c r="H38" s="50" t="str">
        <f>IFERROR(VLOOKUP($F38,'Project Summary'!$B$9:$M$106,4,FALSE),"")</f>
        <v>盈泊工程公司</v>
      </c>
      <c r="I38" s="50" t="s">
        <v>309</v>
      </c>
      <c r="J38" s="84">
        <f>IFERROR(VLOOKUP($F38,'Project Summary'!$B$9:$M$106,7,FALSE),"")</f>
        <v>83000</v>
      </c>
      <c r="K38" s="82">
        <v>83000</v>
      </c>
      <c r="L38" s="6">
        <f t="shared" si="1"/>
        <v>0</v>
      </c>
      <c r="M38" s="4"/>
      <c r="N38" s="16"/>
      <c r="O38" s="8"/>
      <c r="P38" s="7"/>
      <c r="Q38" s="8"/>
      <c r="R38" s="14"/>
    </row>
    <row r="39" spans="1:18" s="11" customFormat="1" ht="16.2">
      <c r="A39" s="124">
        <v>35</v>
      </c>
      <c r="B39" s="34">
        <f t="shared" si="0"/>
        <v>35</v>
      </c>
      <c r="C39" s="125">
        <v>45826</v>
      </c>
      <c r="D39" s="130" t="s">
        <v>215</v>
      </c>
      <c r="E39" s="131"/>
      <c r="F39" s="131" t="s">
        <v>216</v>
      </c>
      <c r="G39" s="50" t="str">
        <f>IFERROR(VLOOKUP($F39,'Project Summary'!$B$9:$M$106,3,FALSE),"")</f>
        <v>ALCO LIGHTING (H.K.) LTD</v>
      </c>
      <c r="H39" s="50">
        <f>IFERROR(VLOOKUP($F39,'Project Summary'!$B$9:$M$106,4,FALSE),"")</f>
        <v>0</v>
      </c>
      <c r="I39" s="50" t="str">
        <f>IFERROR(VLOOKUP($F39,'Project Summary'!$B$9:$M$106,5,FALSE),"")</f>
        <v>Light fitting</v>
      </c>
      <c r="J39" s="84">
        <f>IFERROR(VLOOKUP($F39,'Project Summary'!$B$9:$M$106,7,FALSE),"")</f>
        <v>174600</v>
      </c>
      <c r="K39" s="82">
        <v>174600</v>
      </c>
      <c r="L39" s="6">
        <f t="shared" si="1"/>
        <v>0</v>
      </c>
      <c r="M39" s="4"/>
      <c r="N39" s="16"/>
      <c r="O39" s="8"/>
      <c r="P39" s="7"/>
      <c r="Q39" s="8"/>
      <c r="R39" s="14"/>
    </row>
    <row r="40" spans="1:18" s="11" customFormat="1" ht="16.2">
      <c r="A40" s="124">
        <v>36</v>
      </c>
      <c r="B40" s="34">
        <f t="shared" si="0"/>
        <v>36</v>
      </c>
      <c r="C40" s="125">
        <v>45854</v>
      </c>
      <c r="D40" s="130" t="s">
        <v>217</v>
      </c>
      <c r="E40" s="131"/>
      <c r="F40" s="131" t="s">
        <v>73</v>
      </c>
      <c r="G40" s="50" t="str">
        <f>IFERROR(VLOOKUP($F40,'Project Summary'!$B$9:$M$106,3,FALSE),"")</f>
        <v>YING PAK ENGINEERING COMPANY</v>
      </c>
      <c r="H40" s="50" t="str">
        <f>IFERROR(VLOOKUP($F40,'Project Summary'!$B$9:$M$106,4,FALSE),"")</f>
        <v>盈泊工程公司</v>
      </c>
      <c r="I40" s="50" t="s">
        <v>311</v>
      </c>
      <c r="J40" s="84">
        <f>IFERROR(VLOOKUP($F40,'Project Summary'!$B$9:$M$106,7,FALSE),"")</f>
        <v>800000</v>
      </c>
      <c r="K40" s="82">
        <v>138000</v>
      </c>
      <c r="L40" s="6">
        <f t="shared" si="1"/>
        <v>662000</v>
      </c>
      <c r="M40" s="4"/>
      <c r="N40" s="5"/>
      <c r="O40" s="8"/>
      <c r="P40" s="7"/>
      <c r="Q40" s="8"/>
      <c r="R40" s="14"/>
    </row>
    <row r="41" spans="1:18" s="11" customFormat="1" ht="16.2">
      <c r="A41" s="124">
        <v>37</v>
      </c>
      <c r="B41" s="34">
        <f t="shared" si="0"/>
        <v>37</v>
      </c>
      <c r="C41" s="125">
        <v>45862</v>
      </c>
      <c r="D41" s="126" t="s">
        <v>218</v>
      </c>
      <c r="E41" s="124"/>
      <c r="F41" s="124" t="s">
        <v>119</v>
      </c>
      <c r="G41" s="50" t="str">
        <f>IFERROR(VLOOKUP($F41,'Project Summary'!$B$9:$M$106,3,FALSE),"")</f>
        <v>Environmental Protection Department</v>
      </c>
      <c r="H41" s="50" t="str">
        <f>IFERROR(VLOOKUP($F41,'Project Summary'!$B$9:$M$106,4,FALSE),"")</f>
        <v>環境保護署</v>
      </c>
      <c r="I41" s="50" t="str">
        <f>IFERROR(VLOOKUP($F41,'Project Summary'!$B$9:$M$106,5,FALSE),"")</f>
        <v>Waste Dispoal</v>
      </c>
      <c r="J41" s="84">
        <f>IFERROR(VLOOKUP($F41,'Project Summary'!$B$9:$M$106,7,FALSE),"")</f>
        <v>27242.5</v>
      </c>
      <c r="K41" s="82">
        <v>4562.5</v>
      </c>
      <c r="L41" s="6">
        <f t="shared" si="1"/>
        <v>22680</v>
      </c>
      <c r="M41" s="4"/>
      <c r="N41" s="16"/>
      <c r="O41" s="8"/>
      <c r="P41" s="7"/>
      <c r="Q41" s="8"/>
      <c r="R41" s="14"/>
    </row>
    <row r="42" spans="1:18" s="11" customFormat="1" ht="16.2">
      <c r="A42" s="124">
        <v>38</v>
      </c>
      <c r="B42" s="34">
        <f t="shared" si="0"/>
        <v>38</v>
      </c>
      <c r="C42" s="125">
        <v>45818</v>
      </c>
      <c r="D42" s="130" t="s">
        <v>219</v>
      </c>
      <c r="E42" s="131"/>
      <c r="F42" s="131" t="s">
        <v>154</v>
      </c>
      <c r="G42" s="50" t="str">
        <f>IFERROR(VLOOKUP($F42,'Project Summary'!$B$9:$M$106,3,FALSE),"")</f>
        <v>SHUN SHING ELECTRICALS CO. LTD</v>
      </c>
      <c r="H42" s="50" t="str">
        <f>IFERROR(VLOOKUP($F42,'Project Summary'!$B$9:$M$106,4,FALSE),"")</f>
        <v>信成電器材料有限公司</v>
      </c>
      <c r="I42" s="50" t="str">
        <f>IFERROR(VLOOKUP($F42,'Project Summary'!$B$9:$M$106,5,FALSE),"")</f>
        <v>EL - Material</v>
      </c>
      <c r="J42" s="84">
        <f>IFERROR(VLOOKUP($F42,'Project Summary'!$B$9:$M$106,7,FALSE),"")</f>
        <v>5400</v>
      </c>
      <c r="K42" s="82">
        <v>5400</v>
      </c>
      <c r="L42" s="6">
        <f t="shared" si="1"/>
        <v>0</v>
      </c>
      <c r="M42" s="4"/>
      <c r="N42" s="16"/>
      <c r="O42" s="8"/>
      <c r="P42" s="7"/>
      <c r="Q42" s="8"/>
      <c r="R42" s="14"/>
    </row>
    <row r="43" spans="1:18" s="11" customFormat="1" ht="16.2">
      <c r="A43" s="124">
        <v>39</v>
      </c>
      <c r="B43" s="34">
        <f t="shared" si="0"/>
        <v>39</v>
      </c>
      <c r="C43" s="125">
        <v>45798</v>
      </c>
      <c r="D43" s="132" t="s">
        <v>220</v>
      </c>
      <c r="E43" s="131"/>
      <c r="F43" s="131" t="s">
        <v>156</v>
      </c>
      <c r="G43" s="50" t="str">
        <f>IFERROR(VLOOKUP($F43,'Project Summary'!$B$9:$M$106,3,FALSE),"")</f>
        <v>SHUN SHING ELECTRICALS CO. LTD</v>
      </c>
      <c r="H43" s="50" t="str">
        <f>IFERROR(VLOOKUP($F43,'Project Summary'!$B$9:$M$106,4,FALSE),"")</f>
        <v>信成電器材料有限公司</v>
      </c>
      <c r="I43" s="50" t="str">
        <f>IFERROR(VLOOKUP($F43,'Project Summary'!$B$9:$M$106,5,FALSE),"")</f>
        <v>EL - Material</v>
      </c>
      <c r="J43" s="84">
        <f>IFERROR(VLOOKUP($F43,'Project Summary'!$B$9:$M$106,7,FALSE),"")</f>
        <v>1988.3</v>
      </c>
      <c r="K43" s="82">
        <v>1988.3</v>
      </c>
      <c r="L43" s="6">
        <f t="shared" si="1"/>
        <v>0</v>
      </c>
      <c r="M43" s="4"/>
      <c r="N43" s="16"/>
      <c r="O43" s="8"/>
      <c r="P43" s="7"/>
      <c r="Q43" s="8"/>
      <c r="R43" s="14"/>
    </row>
    <row r="44" spans="1:18" s="11" customFormat="1" ht="16.2">
      <c r="A44" s="124">
        <v>40</v>
      </c>
      <c r="B44" s="34">
        <f t="shared" si="0"/>
        <v>40</v>
      </c>
      <c r="C44" s="125">
        <v>45798</v>
      </c>
      <c r="D44" s="130" t="s">
        <v>221</v>
      </c>
      <c r="E44" s="131"/>
      <c r="F44" s="131" t="s">
        <v>155</v>
      </c>
      <c r="G44" s="50" t="str">
        <f>IFERROR(VLOOKUP($F44,'Project Summary'!$B$9:$M$106,3,FALSE),"")</f>
        <v>SHUN SHING ELECTRICALS CO. LTD</v>
      </c>
      <c r="H44" s="50" t="str">
        <f>IFERROR(VLOOKUP($F44,'Project Summary'!$B$9:$M$106,4,FALSE),"")</f>
        <v>信成電器材料有限公司</v>
      </c>
      <c r="I44" s="50" t="str">
        <f>IFERROR(VLOOKUP($F44,'Project Summary'!$B$9:$M$106,5,FALSE),"")</f>
        <v>EL - Material</v>
      </c>
      <c r="J44" s="84">
        <f>IFERROR(VLOOKUP($F44,'Project Summary'!$B$9:$M$106,7,FALSE),"")</f>
        <v>1353</v>
      </c>
      <c r="K44" s="82">
        <v>1353</v>
      </c>
      <c r="L44" s="6">
        <f t="shared" si="1"/>
        <v>0</v>
      </c>
      <c r="M44" s="4"/>
      <c r="N44" s="16"/>
      <c r="O44" s="8"/>
      <c r="P44" s="7"/>
      <c r="Q44" s="8"/>
      <c r="R44" s="14"/>
    </row>
    <row r="45" spans="1:18" s="11" customFormat="1" ht="26.4">
      <c r="A45" s="7">
        <v>41</v>
      </c>
      <c r="B45" s="34">
        <f t="shared" si="0"/>
        <v>41</v>
      </c>
      <c r="C45" s="4"/>
      <c r="D45" s="5"/>
      <c r="E45" s="20"/>
      <c r="F45" s="20" t="s">
        <v>222</v>
      </c>
      <c r="G45" s="50" t="str">
        <f>IFERROR(VLOOKUP($F45,'Project Summary'!$B$9:$M$106,3,FALSE),"")</f>
        <v>WAH MAN ENGINEERING COMPANY</v>
      </c>
      <c r="H45" s="50" t="str">
        <f>IFERROR(VLOOKUP($F45,'Project Summary'!$B$9:$M$106,4,FALSE),"")</f>
        <v>華文工程有限公司</v>
      </c>
      <c r="I45" s="50" t="str">
        <f>IFERROR(VLOOKUP($F45,'Project Summary'!$B$9:$M$106,5,FALSE),"")</f>
        <v>Structural Engineering Consultancy</v>
      </c>
      <c r="J45" s="84">
        <f>IFERROR(VLOOKUP($F45,'Project Summary'!$B$9:$M$106,7,FALSE),"")</f>
        <v>6000</v>
      </c>
      <c r="K45" s="82">
        <v>6000</v>
      </c>
      <c r="L45" s="6">
        <f t="shared" si="1"/>
        <v>0</v>
      </c>
      <c r="M45" s="4"/>
      <c r="N45" s="5"/>
      <c r="O45" s="8"/>
      <c r="P45" s="10"/>
      <c r="Q45" s="8"/>
      <c r="R45" s="14"/>
    </row>
    <row r="46" spans="1:18" s="148" customFormat="1" ht="16.2">
      <c r="A46" s="127">
        <v>42</v>
      </c>
      <c r="B46" s="34">
        <f t="shared" si="0"/>
        <v>42</v>
      </c>
      <c r="C46" s="128">
        <v>45867</v>
      </c>
      <c r="D46" s="133" t="s">
        <v>223</v>
      </c>
      <c r="E46" s="134"/>
      <c r="F46" s="134" t="s">
        <v>138</v>
      </c>
      <c r="G46" s="141" t="str">
        <f>IFERROR(VLOOKUP($F46,'Project Summary'!$B$9:$M$106,3,FALSE),"")</f>
        <v>UCMG</v>
      </c>
      <c r="H46" s="141" t="str">
        <f>IFERROR(VLOOKUP($F46,'Project Summary'!$B$9:$M$106,4,FALSE),"")</f>
        <v>聯康醫療</v>
      </c>
      <c r="I46" s="141" t="str">
        <f>IFERROR(VLOOKUP($F46,'Project Summary'!$B$9:$M$106,5,FALSE),"")</f>
        <v>Body Check</v>
      </c>
      <c r="J46" s="84">
        <f>IFERROR(VLOOKUP($F46,'Project Summary'!$B$9:$M$106,7,FALSE),"")</f>
        <v>1640</v>
      </c>
      <c r="K46" s="139">
        <v>270</v>
      </c>
      <c r="L46" s="139">
        <f t="shared" si="1"/>
        <v>1370</v>
      </c>
      <c r="M46" s="128"/>
      <c r="N46" s="129"/>
      <c r="O46" s="144"/>
      <c r="P46" s="220" t="s">
        <v>257</v>
      </c>
      <c r="Q46" s="144"/>
      <c r="R46" s="149"/>
    </row>
    <row r="47" spans="1:18" s="11" customFormat="1" ht="16.2">
      <c r="A47" s="124">
        <v>43</v>
      </c>
      <c r="B47" s="34">
        <f t="shared" si="0"/>
        <v>43</v>
      </c>
      <c r="C47" s="125">
        <v>45874</v>
      </c>
      <c r="D47" s="126" t="s">
        <v>181</v>
      </c>
      <c r="E47" s="124"/>
      <c r="F47" s="124" t="s">
        <v>224</v>
      </c>
      <c r="G47" s="50" t="str">
        <f>IFERROR(VLOOKUP($F47,'Project Summary'!$B$9:$M$106,3,FALSE),"")</f>
        <v>CHASE ENGINEERING LIMITED</v>
      </c>
      <c r="H47" s="50" t="str">
        <f>IFERROR(VLOOKUP($F47,'Project Summary'!$B$9:$M$106,4,FALSE),"")</f>
        <v>大同工程有限公司</v>
      </c>
      <c r="I47" s="50" t="str">
        <f>IFERROR(VLOOKUP($F47,'Project Summary'!$B$9:$M$106,5,FALSE),"")</f>
        <v>Fire Services Installation</v>
      </c>
      <c r="J47" s="84">
        <f>IFERROR(VLOOKUP($F47,'Project Summary'!$B$9:$M$106,7,FALSE),"")</f>
        <v>800000</v>
      </c>
      <c r="K47" s="82">
        <v>116250</v>
      </c>
      <c r="L47" s="6">
        <f t="shared" si="1"/>
        <v>683750</v>
      </c>
      <c r="M47" s="4"/>
      <c r="N47" s="16"/>
      <c r="O47" s="8"/>
      <c r="P47" s="7"/>
      <c r="Q47" s="8"/>
      <c r="R47" s="14"/>
    </row>
    <row r="48" spans="1:18" s="11" customFormat="1" ht="16.2">
      <c r="A48" s="124">
        <v>44</v>
      </c>
      <c r="B48" s="34">
        <f t="shared" si="0"/>
        <v>44</v>
      </c>
      <c r="C48" s="125">
        <v>45839</v>
      </c>
      <c r="D48" s="130" t="s">
        <v>197</v>
      </c>
      <c r="E48" s="124"/>
      <c r="F48" s="131" t="s">
        <v>142</v>
      </c>
      <c r="G48" s="50" t="str">
        <f>IFERROR(VLOOKUP($F48,'Project Summary'!$B$9:$M$106,3,FALSE),"")</f>
        <v>CHIU MING COMPANY LIMITED</v>
      </c>
      <c r="H48" s="50" t="str">
        <f>IFERROR(VLOOKUP($F48,'Project Summary'!$B$9:$M$106,4,FALSE),"")</f>
        <v>照明工程有限公司</v>
      </c>
      <c r="I48" s="50" t="s">
        <v>383</v>
      </c>
      <c r="J48" s="84">
        <f>IFERROR(VLOOKUP($F48,'Project Summary'!$B$9:$M$106,7,FALSE),"")</f>
        <v>1100000</v>
      </c>
      <c r="K48" s="82">
        <v>54597.3</v>
      </c>
      <c r="L48" s="6">
        <f t="shared" si="1"/>
        <v>1045402.7</v>
      </c>
      <c r="M48" s="9"/>
      <c r="N48" s="13"/>
      <c r="O48" s="15"/>
      <c r="P48" s="7"/>
      <c r="Q48" s="15"/>
      <c r="R48" s="14"/>
    </row>
    <row r="49" spans="1:18" s="11" customFormat="1" ht="16.2">
      <c r="A49" s="124">
        <v>45</v>
      </c>
      <c r="B49" s="34">
        <f t="shared" si="0"/>
        <v>45</v>
      </c>
      <c r="C49" s="125"/>
      <c r="D49" s="130"/>
      <c r="E49" s="131"/>
      <c r="F49" s="131" t="s">
        <v>161</v>
      </c>
      <c r="G49" s="50" t="str">
        <f>IFERROR(VLOOKUP($F49,'Project Summary'!$B$9:$M$106,3,FALSE),"")</f>
        <v>Miscellaneous</v>
      </c>
      <c r="H49" s="50">
        <f>IFERROR(VLOOKUP($F49,'Project Summary'!$B$9:$M$106,4,FALSE),"")</f>
        <v>0</v>
      </c>
      <c r="I49" s="50">
        <f>IFERROR(VLOOKUP($F49,'Project Summary'!$B$9:$M$106,5,FALSE),"")</f>
        <v>0</v>
      </c>
      <c r="J49" s="84">
        <f>IFERROR(VLOOKUP($F49,'Project Summary'!$B$9:$M$106,7,FALSE),"")</f>
        <v>12038.9</v>
      </c>
      <c r="K49" s="82">
        <v>6146.9</v>
      </c>
      <c r="L49" s="6">
        <f t="shared" si="1"/>
        <v>5892</v>
      </c>
      <c r="M49" s="9"/>
      <c r="N49" s="13"/>
      <c r="O49" s="8"/>
      <c r="P49" s="7"/>
      <c r="Q49" s="8"/>
      <c r="R49" s="14"/>
    </row>
    <row r="50" spans="1:18" s="11" customFormat="1" ht="16.2">
      <c r="A50" s="127">
        <v>46</v>
      </c>
      <c r="B50" s="34">
        <f t="shared" si="0"/>
        <v>46</v>
      </c>
      <c r="C50" s="128">
        <v>45867</v>
      </c>
      <c r="D50" s="133" t="s">
        <v>225</v>
      </c>
      <c r="E50" s="134"/>
      <c r="F50" s="134" t="s">
        <v>138</v>
      </c>
      <c r="G50" s="141" t="str">
        <f>IFERROR(VLOOKUP($F50,'Project Summary'!$B$9:$M$106,3,FALSE),"")</f>
        <v>UCMG</v>
      </c>
      <c r="H50" s="141" t="str">
        <f>IFERROR(VLOOKUP($F50,'Project Summary'!$B$9:$M$106,4,FALSE),"")</f>
        <v>聯康醫療</v>
      </c>
      <c r="I50" s="141" t="str">
        <f>IFERROR(VLOOKUP($F50,'Project Summary'!$B$9:$M$106,5,FALSE),"")</f>
        <v>Body Check</v>
      </c>
      <c r="J50" s="84">
        <f>IFERROR(VLOOKUP($F50,'Project Summary'!$B$9:$M$106,7,FALSE),"")</f>
        <v>1640</v>
      </c>
      <c r="K50" s="139">
        <v>280</v>
      </c>
      <c r="L50" s="139">
        <f t="shared" si="1"/>
        <v>1360</v>
      </c>
      <c r="M50" s="128"/>
      <c r="N50" s="129"/>
      <c r="O50" s="144"/>
      <c r="P50" s="220" t="s">
        <v>258</v>
      </c>
      <c r="Q50" s="144"/>
      <c r="R50" s="149"/>
    </row>
    <row r="51" spans="1:18" s="11" customFormat="1" ht="16.2">
      <c r="A51" s="135">
        <v>47</v>
      </c>
      <c r="B51" s="34">
        <f t="shared" si="0"/>
        <v>47</v>
      </c>
      <c r="C51" s="136">
        <v>45888</v>
      </c>
      <c r="D51" s="137" t="s">
        <v>226</v>
      </c>
      <c r="E51" s="138"/>
      <c r="F51" s="138" t="s">
        <v>112</v>
      </c>
      <c r="G51" s="50" t="str">
        <f>IFERROR(VLOOKUP($F51,'Project Summary'!$B$9:$M$106,3,FALSE),"")</f>
        <v>WANG FAT CONSTRUCTION CO.</v>
      </c>
      <c r="H51" s="50" t="str">
        <f>IFERROR(VLOOKUP($F51,'Project Summary'!$B$9:$M$106,4,FALSE),"")</f>
        <v>宏發建築工程公司</v>
      </c>
      <c r="I51" s="50" t="str">
        <f>IFERROR(VLOOKUP($F51,'Project Summary'!$B$9:$M$106,5,FALSE),"")</f>
        <v>Q167/21 搭架比EMSD驗收燈柱</v>
      </c>
      <c r="J51" s="84">
        <f>IFERROR(VLOOKUP($F51,'Project Summary'!$B$9:$M$106,7,FALSE),"")</f>
        <v>15000</v>
      </c>
      <c r="K51" s="140">
        <v>15000</v>
      </c>
      <c r="L51" s="6">
        <f t="shared" si="1"/>
        <v>0</v>
      </c>
      <c r="M51" s="4"/>
      <c r="N51" s="16"/>
      <c r="O51" s="8"/>
      <c r="P51" s="7"/>
      <c r="Q51" s="8"/>
      <c r="R51" s="14"/>
    </row>
    <row r="52" spans="1:18" s="11" customFormat="1" ht="16.2">
      <c r="A52" s="124">
        <v>48</v>
      </c>
      <c r="B52" s="34">
        <f t="shared" si="0"/>
        <v>48</v>
      </c>
      <c r="C52" s="125">
        <v>45882</v>
      </c>
      <c r="D52" s="130" t="s">
        <v>227</v>
      </c>
      <c r="E52" s="131"/>
      <c r="F52" s="131" t="s">
        <v>73</v>
      </c>
      <c r="G52" s="50" t="str">
        <f>IFERROR(VLOOKUP($F52,'Project Summary'!$B$9:$M$106,3,FALSE),"")</f>
        <v>YING PAK ENGINEERING COMPANY</v>
      </c>
      <c r="H52" s="50" t="str">
        <f>IFERROR(VLOOKUP($F52,'Project Summary'!$B$9:$M$106,4,FALSE),"")</f>
        <v>盈泊工程公司</v>
      </c>
      <c r="I52" s="50" t="s">
        <v>312</v>
      </c>
      <c r="J52" s="84">
        <f>IFERROR(VLOOKUP($F52,'Project Summary'!$B$9:$M$106,7,FALSE),"")</f>
        <v>800000</v>
      </c>
      <c r="K52" s="82">
        <v>108000</v>
      </c>
      <c r="L52" s="6">
        <f t="shared" si="1"/>
        <v>692000</v>
      </c>
      <c r="M52" s="9"/>
      <c r="N52" s="13"/>
      <c r="O52" s="8"/>
      <c r="P52" s="7"/>
      <c r="Q52" s="8"/>
      <c r="R52" s="14"/>
    </row>
    <row r="53" spans="1:18" s="11" customFormat="1" ht="16.2">
      <c r="A53" s="124">
        <v>49</v>
      </c>
      <c r="B53" s="34">
        <f t="shared" si="0"/>
        <v>49</v>
      </c>
      <c r="C53" s="125">
        <v>45817</v>
      </c>
      <c r="D53" s="130" t="s">
        <v>228</v>
      </c>
      <c r="E53" s="131"/>
      <c r="F53" s="131" t="s">
        <v>229</v>
      </c>
      <c r="G53" s="50" t="str">
        <f>IFERROR(VLOOKUP($F53,'Project Summary'!$B$9:$M$106,3,FALSE),"")</f>
        <v>Miscellaneous</v>
      </c>
      <c r="H53" s="50">
        <f>IFERROR(VLOOKUP($F53,'Project Summary'!$B$9:$M$106,4,FALSE),"")</f>
        <v>0</v>
      </c>
      <c r="I53" s="50">
        <f>IFERROR(VLOOKUP($F53,'Project Summary'!$B$9:$M$106,5,FALSE),"")</f>
        <v>0</v>
      </c>
      <c r="J53" s="84">
        <f>IFERROR(VLOOKUP($F53,'Project Summary'!$B$9:$M$106,7,FALSE),"")</f>
        <v>12038.9</v>
      </c>
      <c r="K53" s="82">
        <v>460</v>
      </c>
      <c r="L53" s="6">
        <f t="shared" si="1"/>
        <v>11578.9</v>
      </c>
      <c r="M53" s="4"/>
      <c r="N53" s="16"/>
      <c r="O53" s="8"/>
      <c r="P53" s="9"/>
      <c r="Q53" s="8"/>
      <c r="R53" s="14"/>
    </row>
    <row r="54" spans="1:18" s="11" customFormat="1" ht="26.4">
      <c r="A54" s="124">
        <v>50</v>
      </c>
      <c r="B54" s="34">
        <f t="shared" si="0"/>
        <v>50</v>
      </c>
      <c r="C54" s="125">
        <v>45882</v>
      </c>
      <c r="D54" s="130" t="s">
        <v>250</v>
      </c>
      <c r="E54" s="131"/>
      <c r="F54" s="131" t="s">
        <v>280</v>
      </c>
      <c r="G54" s="50" t="str">
        <f>IFERROR(VLOOKUP($F54,'Project Summary'!$B$9:$M$106,3,FALSE),"")</f>
        <v>FIRE EXTINGUISHER SAFETY CONSULTANT</v>
      </c>
      <c r="H54" s="50" t="str">
        <f>IFERROR(VLOOKUP($F54,'Project Summary'!$B$9:$M$106,4,FALSE),"")</f>
        <v>滅火筒安全顧問</v>
      </c>
      <c r="I54" s="50" t="str">
        <f>IFERROR(VLOOKUP($F54,'Project Summary'!$B$9:$M$106,5,FALSE),"")</f>
        <v>Safety</v>
      </c>
      <c r="J54" s="84">
        <f>IFERROR(VLOOKUP($F54,'Project Summary'!$B$9:$M$106,7,FALSE),"")</f>
        <v>272000</v>
      </c>
      <c r="K54" s="82">
        <v>16000</v>
      </c>
      <c r="L54" s="6">
        <f t="shared" si="1"/>
        <v>256000</v>
      </c>
      <c r="M54" s="4"/>
      <c r="N54" s="16"/>
      <c r="O54" s="8"/>
      <c r="P54" s="7"/>
      <c r="Q54" s="8"/>
      <c r="R54" s="14"/>
    </row>
    <row r="55" spans="1:18" s="148" customFormat="1" ht="16.2">
      <c r="A55" s="218" t="s">
        <v>263</v>
      </c>
      <c r="B55" s="34" t="str">
        <f t="shared" si="0"/>
        <v>50A</v>
      </c>
      <c r="C55" s="128">
        <v>45853</v>
      </c>
      <c r="D55" s="133" t="s">
        <v>251</v>
      </c>
      <c r="E55" s="134"/>
      <c r="F55" s="219" t="s">
        <v>361</v>
      </c>
      <c r="G55" s="141" t="str">
        <f>IFERROR(VLOOKUP($F55,'Project Summary'!$B$9:$M$106,3,FALSE),"")</f>
        <v>Firewood Engineering Ltd.</v>
      </c>
      <c r="H55" s="141" t="str">
        <f>IFERROR(VLOOKUP($F55,'Project Summary'!$B$9:$M$106,4,FALSE),"")</f>
        <v>積富工程有限公司</v>
      </c>
      <c r="I55" s="141" t="str">
        <f>IFERROR(VLOOKUP($F55,'Project Summary'!$B$9:$M$106,5,FALSE),"")</f>
        <v>CP(NT)/Fire Marshal</v>
      </c>
      <c r="J55" s="84">
        <f>IFERROR(VLOOKUP($F55,'Project Summary'!$B$9:$M$106,7,FALSE),"")</f>
        <v>1500</v>
      </c>
      <c r="K55" s="139">
        <v>1500</v>
      </c>
      <c r="L55" s="139">
        <f t="shared" si="1"/>
        <v>0</v>
      </c>
      <c r="M55" s="128"/>
      <c r="N55" s="129"/>
      <c r="O55" s="144"/>
      <c r="P55" s="220" t="s">
        <v>253</v>
      </c>
      <c r="Q55" s="144"/>
      <c r="R55" s="149"/>
    </row>
    <row r="56" spans="1:18" s="11" customFormat="1" ht="16.2">
      <c r="A56" s="12">
        <v>51</v>
      </c>
      <c r="B56" s="34">
        <f t="shared" si="0"/>
        <v>51</v>
      </c>
      <c r="C56" s="4">
        <v>45902</v>
      </c>
      <c r="D56" s="5" t="s">
        <v>260</v>
      </c>
      <c r="E56" s="20"/>
      <c r="F56" s="79" t="s">
        <v>259</v>
      </c>
      <c r="G56" s="50" t="str">
        <f>IFERROR(VLOOKUP($F56,'Project Summary'!$B$9:$M$106,3,FALSE),"")</f>
        <v>YING PAK ENGINEERING COMPANY</v>
      </c>
      <c r="H56" s="50" t="str">
        <f>IFERROR(VLOOKUP($F56,'Project Summary'!$B$9:$M$106,4,FALSE),"")</f>
        <v>盈泊工程公司</v>
      </c>
      <c r="I56" s="50" t="s">
        <v>313</v>
      </c>
      <c r="J56" s="84">
        <f>IFERROR(VLOOKUP($F56,'Project Summary'!$B$9:$M$106,7,FALSE),"")</f>
        <v>800000</v>
      </c>
      <c r="K56" s="82">
        <v>80000</v>
      </c>
      <c r="L56" s="6">
        <f>L52-K56</f>
        <v>612000</v>
      </c>
      <c r="M56" s="4"/>
      <c r="N56" s="16"/>
      <c r="O56" s="8"/>
      <c r="P56" s="7"/>
      <c r="Q56" s="8"/>
      <c r="R56" s="14"/>
    </row>
    <row r="57" spans="1:18" s="11" customFormat="1" ht="16.2">
      <c r="A57" s="12">
        <v>52</v>
      </c>
      <c r="B57" s="34">
        <f t="shared" si="0"/>
        <v>52</v>
      </c>
      <c r="C57" s="5" t="s">
        <v>261</v>
      </c>
      <c r="D57" s="5" t="s">
        <v>262</v>
      </c>
      <c r="E57" s="20"/>
      <c r="F57" s="79" t="s">
        <v>142</v>
      </c>
      <c r="G57" s="50" t="str">
        <f>IFERROR(VLOOKUP($F57,'Project Summary'!$B$9:$M$106,3,FALSE),"")</f>
        <v>CHIU MING COMPANY LIMITED</v>
      </c>
      <c r="H57" s="50" t="str">
        <f>IFERROR(VLOOKUP($F57,'Project Summary'!$B$9:$M$106,4,FALSE),"")</f>
        <v>照明工程有限公司</v>
      </c>
      <c r="I57" s="50" t="s">
        <v>382</v>
      </c>
      <c r="J57" s="84">
        <f>IFERROR(VLOOKUP($F57,'Project Summary'!$B$9:$M$106,7,FALSE),"")</f>
        <v>1100000</v>
      </c>
      <c r="K57" s="82">
        <v>158545.5</v>
      </c>
      <c r="L57" s="6">
        <f>IFERROR(J57-K57,"")</f>
        <v>941454.5</v>
      </c>
      <c r="M57" s="4"/>
      <c r="N57" s="16"/>
      <c r="O57" s="8"/>
      <c r="P57" s="7"/>
      <c r="Q57" s="8"/>
      <c r="R57" s="14"/>
    </row>
    <row r="58" spans="1:18" s="11" customFormat="1" ht="16.2">
      <c r="A58" s="12">
        <v>53</v>
      </c>
      <c r="B58" s="34">
        <f t="shared" si="0"/>
        <v>53</v>
      </c>
      <c r="C58" s="4">
        <v>45856</v>
      </c>
      <c r="D58" s="5" t="s">
        <v>265</v>
      </c>
      <c r="E58" s="20"/>
      <c r="F58" s="79" t="s">
        <v>264</v>
      </c>
      <c r="G58" s="50" t="str">
        <f>IFERROR(VLOOKUP($F58,'Project Summary'!$B$9:$M$106,3,FALSE),"")</f>
        <v>SHUN SHING ELECTRICALS CO. LTD</v>
      </c>
      <c r="H58" s="50" t="str">
        <f>IFERROR(VLOOKUP($F58,'Project Summary'!$B$9:$M$106,4,FALSE),"")</f>
        <v>信成電器材料有限公司</v>
      </c>
      <c r="I58" s="50" t="str">
        <f>IFERROR(VLOOKUP($F58,'Project Summary'!$B$9:$M$106,5,FALSE),"")</f>
        <v>EL - Material</v>
      </c>
      <c r="J58" s="84">
        <f>IFERROR(VLOOKUP($F58,'Project Summary'!$B$9:$M$106,7,FALSE),"")</f>
        <v>8909</v>
      </c>
      <c r="K58" s="82">
        <v>8909</v>
      </c>
      <c r="L58" s="6">
        <f t="shared" si="1"/>
        <v>0</v>
      </c>
      <c r="M58" s="4"/>
      <c r="N58" s="16"/>
      <c r="O58" s="8"/>
      <c r="P58" s="7"/>
      <c r="Q58" s="8"/>
      <c r="R58" s="14"/>
    </row>
    <row r="59" spans="1:18" s="11" customFormat="1" ht="16.2">
      <c r="A59" s="12">
        <v>54</v>
      </c>
      <c r="B59" s="34">
        <f t="shared" si="0"/>
        <v>54</v>
      </c>
      <c r="C59" s="4">
        <v>45856</v>
      </c>
      <c r="D59" s="5" t="s">
        <v>267</v>
      </c>
      <c r="E59" s="20"/>
      <c r="F59" s="79" t="s">
        <v>266</v>
      </c>
      <c r="G59" s="50" t="str">
        <f>IFERROR(VLOOKUP($F59,'Project Summary'!$B$9:$M$106,3,FALSE),"")</f>
        <v>SHUN SHING ELECTRICALS CO. LTD</v>
      </c>
      <c r="H59" s="50" t="str">
        <f>IFERROR(VLOOKUP($F59,'Project Summary'!$B$9:$M$106,4,FALSE),"")</f>
        <v>信成電器材料有限公司</v>
      </c>
      <c r="I59" s="50" t="str">
        <f>IFERROR(VLOOKUP($F59,'Project Summary'!$B$9:$M$106,5,FALSE),"")</f>
        <v>EL - Material</v>
      </c>
      <c r="J59" s="84">
        <f>IFERROR(VLOOKUP($F59,'Project Summary'!$B$9:$M$106,7,FALSE),"")</f>
        <v>6410</v>
      </c>
      <c r="K59" s="82">
        <v>6410</v>
      </c>
      <c r="L59" s="6">
        <f t="shared" si="1"/>
        <v>0</v>
      </c>
      <c r="M59" s="4"/>
      <c r="N59" s="16"/>
      <c r="O59" s="8"/>
      <c r="P59" s="7"/>
      <c r="Q59" s="8"/>
      <c r="R59" s="14"/>
    </row>
    <row r="60" spans="1:18" s="11" customFormat="1" ht="16.2">
      <c r="A60" s="12">
        <v>55</v>
      </c>
      <c r="B60" s="34">
        <f t="shared" si="0"/>
        <v>55</v>
      </c>
      <c r="C60" s="4">
        <v>45903</v>
      </c>
      <c r="D60" s="5" t="s">
        <v>268</v>
      </c>
      <c r="E60" s="20"/>
      <c r="F60" s="79" t="s">
        <v>269</v>
      </c>
      <c r="G60" s="50" t="str">
        <f>IFERROR(VLOOKUP($F60,'Project Summary'!$B$9:$M$106,3,FALSE),"")</f>
        <v>Environmental Protection Department</v>
      </c>
      <c r="H60" s="50" t="str">
        <f>IFERROR(VLOOKUP($F60,'Project Summary'!$B$9:$M$106,4,FALSE),"")</f>
        <v>環境保護署</v>
      </c>
      <c r="I60" s="50" t="str">
        <f>IFERROR(VLOOKUP($F60,'Project Summary'!$B$9:$M$106,5,FALSE),"")</f>
        <v>Waste Dispoal</v>
      </c>
      <c r="J60" s="84">
        <f>IFERROR(VLOOKUP($F60,'Project Summary'!$B$9:$M$106,7,FALSE),"")</f>
        <v>27242.5</v>
      </c>
      <c r="K60" s="82">
        <v>540</v>
      </c>
      <c r="L60" s="6">
        <f t="shared" si="1"/>
        <v>26702.5</v>
      </c>
      <c r="M60" s="4"/>
      <c r="N60" s="16"/>
      <c r="O60" s="8"/>
      <c r="P60" s="7"/>
      <c r="Q60" s="8"/>
      <c r="R60" s="14"/>
    </row>
    <row r="61" spans="1:18" s="11" customFormat="1" ht="16.2">
      <c r="A61" s="12">
        <v>56</v>
      </c>
      <c r="B61" s="34">
        <f t="shared" si="0"/>
        <v>56</v>
      </c>
      <c r="C61" s="4">
        <v>45870</v>
      </c>
      <c r="D61" s="16" t="s">
        <v>271</v>
      </c>
      <c r="E61" s="7"/>
      <c r="F61" s="78" t="s">
        <v>270</v>
      </c>
      <c r="G61" s="50" t="str">
        <f>IFERROR(VLOOKUP($F61,'Project Summary'!$B$9:$M$106,3,FALSE),"")</f>
        <v>SHUN SHING ELECTRICALS CO. LTD</v>
      </c>
      <c r="H61" s="50" t="str">
        <f>IFERROR(VLOOKUP($F61,'Project Summary'!$B$9:$M$106,4,FALSE),"")</f>
        <v>信成電器材料有限公司</v>
      </c>
      <c r="I61" s="50" t="str">
        <f>IFERROR(VLOOKUP($F61,'Project Summary'!$B$9:$M$106,5,FALSE),"")</f>
        <v>EL - Material</v>
      </c>
      <c r="J61" s="84">
        <f>IFERROR(VLOOKUP($F61,'Project Summary'!$B$9:$M$106,7,FALSE),"")</f>
        <v>15497.199999999999</v>
      </c>
      <c r="K61" s="82">
        <v>15497.2</v>
      </c>
      <c r="L61" s="6">
        <f t="shared" si="1"/>
        <v>-1.8189894035458565E-12</v>
      </c>
      <c r="M61" s="9"/>
      <c r="N61" s="13"/>
      <c r="O61" s="8"/>
      <c r="P61" s="7"/>
      <c r="Q61" s="8"/>
      <c r="R61" s="14"/>
    </row>
    <row r="62" spans="1:18" s="11" customFormat="1" ht="16.2">
      <c r="A62" s="12">
        <v>57</v>
      </c>
      <c r="B62" s="34">
        <f t="shared" si="0"/>
        <v>57</v>
      </c>
      <c r="C62" s="4">
        <v>45868</v>
      </c>
      <c r="D62" s="16" t="s">
        <v>273</v>
      </c>
      <c r="E62" s="7"/>
      <c r="F62" s="78" t="s">
        <v>256</v>
      </c>
      <c r="G62" s="50" t="str">
        <f>IFERROR(VLOOKUP($F62,'Project Summary'!$B$9:$M$106,3,FALSE),"")</f>
        <v>SHUN SHING ELECTRICALS CO. LTD</v>
      </c>
      <c r="H62" s="50" t="str">
        <f>IFERROR(VLOOKUP($F62,'Project Summary'!$B$9:$M$106,4,FALSE),"")</f>
        <v>信成電器材料有限公司</v>
      </c>
      <c r="I62" s="50" t="str">
        <f>IFERROR(VLOOKUP($F62,'Project Summary'!$B$9:$M$106,5,FALSE),"")</f>
        <v>EL - Material</v>
      </c>
      <c r="J62" s="84">
        <f>IFERROR(VLOOKUP($F62,'Project Summary'!$B$9:$M$106,7,FALSE),"")</f>
        <v>900</v>
      </c>
      <c r="K62" s="82">
        <v>900</v>
      </c>
      <c r="L62" s="6">
        <f t="shared" si="1"/>
        <v>0</v>
      </c>
      <c r="M62" s="9"/>
      <c r="N62" s="13"/>
      <c r="O62" s="8"/>
      <c r="P62" s="7"/>
      <c r="Q62" s="8"/>
      <c r="R62" s="14"/>
    </row>
    <row r="63" spans="1:18" s="11" customFormat="1" ht="16.2">
      <c r="A63" s="12">
        <v>58</v>
      </c>
      <c r="B63" s="34">
        <f t="shared" si="0"/>
        <v>58</v>
      </c>
      <c r="C63" s="4">
        <v>45873</v>
      </c>
      <c r="D63" s="16" t="s">
        <v>274</v>
      </c>
      <c r="E63" s="7"/>
      <c r="F63" s="78" t="s">
        <v>275</v>
      </c>
      <c r="G63" s="50" t="str">
        <f>IFERROR(VLOOKUP($F63,'Project Summary'!$B$9:$M$106,3,FALSE),"")</f>
        <v>SHUN SHING ELECTRICALS CO. LTD</v>
      </c>
      <c r="H63" s="50" t="str">
        <f>IFERROR(VLOOKUP($F63,'Project Summary'!$B$9:$M$106,4,FALSE),"")</f>
        <v>信成電器材料有限公司</v>
      </c>
      <c r="I63" s="50" t="str">
        <f>IFERROR(VLOOKUP($F63,'Project Summary'!$B$9:$M$106,5,FALSE),"")</f>
        <v>EL - Material</v>
      </c>
      <c r="J63" s="84">
        <f>IFERROR(VLOOKUP($F63,'Project Summary'!$B$9:$M$106,7,FALSE),"")</f>
        <v>6120</v>
      </c>
      <c r="K63" s="82">
        <v>6120</v>
      </c>
      <c r="L63" s="6">
        <f t="shared" si="1"/>
        <v>0</v>
      </c>
      <c r="M63" s="9"/>
      <c r="N63" s="13"/>
      <c r="O63" s="8"/>
      <c r="P63" s="7"/>
      <c r="Q63" s="8"/>
      <c r="R63" s="14"/>
    </row>
    <row r="64" spans="1:18" s="11" customFormat="1" ht="16.2">
      <c r="A64" s="12">
        <v>59</v>
      </c>
      <c r="B64" s="34">
        <f t="shared" si="0"/>
        <v>59</v>
      </c>
      <c r="C64" s="4">
        <v>45856</v>
      </c>
      <c r="D64" s="16" t="s">
        <v>277</v>
      </c>
      <c r="E64" s="7"/>
      <c r="F64" s="78" t="s">
        <v>276</v>
      </c>
      <c r="G64" s="50" t="str">
        <f>IFERROR(VLOOKUP($F64,'Project Summary'!$B$9:$M$106,3,FALSE),"")</f>
        <v>SHUN SHING ELECTRICALS CO. LTD</v>
      </c>
      <c r="H64" s="50" t="str">
        <f>IFERROR(VLOOKUP($F64,'Project Summary'!$B$9:$M$106,4,FALSE),"")</f>
        <v>信成電器材料有限公司</v>
      </c>
      <c r="I64" s="50" t="str">
        <f>IFERROR(VLOOKUP($F64,'Project Summary'!$B$9:$M$106,5,FALSE),"")</f>
        <v>EL - Material</v>
      </c>
      <c r="J64" s="84">
        <f>IFERROR(VLOOKUP($F64,'Project Summary'!$B$9:$M$106,7,FALSE),"")</f>
        <v>7200</v>
      </c>
      <c r="K64" s="82">
        <v>7200</v>
      </c>
      <c r="L64" s="6">
        <f t="shared" si="1"/>
        <v>0</v>
      </c>
      <c r="M64" s="9"/>
      <c r="N64" s="13"/>
      <c r="O64" s="8"/>
      <c r="P64" s="7"/>
      <c r="Q64" s="8"/>
      <c r="R64" s="14"/>
    </row>
    <row r="65" spans="1:18" s="27" customFormat="1" ht="16.2">
      <c r="A65" s="12">
        <v>60</v>
      </c>
      <c r="B65" s="34">
        <f t="shared" si="0"/>
        <v>60</v>
      </c>
      <c r="C65" s="4">
        <v>45863</v>
      </c>
      <c r="D65" s="5" t="s">
        <v>279</v>
      </c>
      <c r="E65" s="7"/>
      <c r="F65" s="78" t="s">
        <v>278</v>
      </c>
      <c r="G65" s="50" t="str">
        <f>IFERROR(VLOOKUP($F65,'Project Summary'!$B$9:$M$106,3,FALSE),"")</f>
        <v>SHUN SHING ELECTRICALS CO. LTD</v>
      </c>
      <c r="H65" s="50" t="str">
        <f>IFERROR(VLOOKUP($F65,'Project Summary'!$B$9:$M$106,4,FALSE),"")</f>
        <v>信成電器材料有限公司</v>
      </c>
      <c r="I65" s="50" t="str">
        <f>IFERROR(VLOOKUP($F65,'Project Summary'!$B$9:$M$106,5,FALSE),"")</f>
        <v>EL - Material</v>
      </c>
      <c r="J65" s="84">
        <f>IFERROR(VLOOKUP($F65,'Project Summary'!$B$9:$M$106,7,FALSE),"")</f>
        <v>2393.6</v>
      </c>
      <c r="K65" s="82">
        <v>2393.6</v>
      </c>
      <c r="L65" s="6">
        <f t="shared" si="1"/>
        <v>0</v>
      </c>
      <c r="M65" s="22"/>
      <c r="N65" s="23"/>
      <c r="O65" s="24"/>
      <c r="P65" s="25"/>
      <c r="Q65" s="24"/>
      <c r="R65" s="26"/>
    </row>
    <row r="66" spans="1:18" s="11" customFormat="1" ht="16.2">
      <c r="A66" s="12">
        <v>61</v>
      </c>
      <c r="B66" s="34">
        <f t="shared" si="0"/>
        <v>61</v>
      </c>
      <c r="C66" s="4">
        <v>45901</v>
      </c>
      <c r="D66" s="16" t="s">
        <v>197</v>
      </c>
      <c r="E66" s="7"/>
      <c r="F66" s="79" t="s">
        <v>142</v>
      </c>
      <c r="G66" s="50" t="str">
        <f>IFERROR(VLOOKUP($F66,'Project Summary'!$B$9:$M$106,3,FALSE),"")</f>
        <v>CHIU MING COMPANY LIMITED</v>
      </c>
      <c r="H66" s="50" t="str">
        <f>IFERROR(VLOOKUP($F66,'Project Summary'!$B$9:$M$106,4,FALSE),"")</f>
        <v>照明工程有限公司</v>
      </c>
      <c r="I66" s="50" t="s">
        <v>381</v>
      </c>
      <c r="J66" s="84">
        <f>IFERROR(VLOOKUP($F66,'Project Summary'!$B$9:$M$106,7,FALSE),"")</f>
        <v>1100000</v>
      </c>
      <c r="K66" s="82">
        <v>157554.65</v>
      </c>
      <c r="L66" s="6">
        <f>IFERROR(J66-K66,"")</f>
        <v>942445.35</v>
      </c>
      <c r="M66" s="9"/>
      <c r="N66" s="13"/>
      <c r="O66" s="8"/>
      <c r="P66" s="7"/>
      <c r="Q66" s="8"/>
      <c r="R66" s="14"/>
    </row>
    <row r="67" spans="1:18" s="11" customFormat="1" ht="26.4">
      <c r="A67" s="12">
        <v>62</v>
      </c>
      <c r="B67" s="34">
        <f t="shared" si="0"/>
        <v>62</v>
      </c>
      <c r="C67" s="4">
        <v>45916</v>
      </c>
      <c r="D67" s="16" t="s">
        <v>281</v>
      </c>
      <c r="E67" s="7"/>
      <c r="F67" s="78" t="s">
        <v>124</v>
      </c>
      <c r="G67" s="50" t="str">
        <f>IFERROR(VLOOKUP($F67,'Project Summary'!$B$9:$M$106,3,FALSE),"")</f>
        <v>FIRE EXTINGUISHER SAFETY CONSULTANT</v>
      </c>
      <c r="H67" s="50" t="str">
        <f>IFERROR(VLOOKUP($F67,'Project Summary'!$B$9:$M$106,4,FALSE),"")</f>
        <v>滅火筒安全顧問</v>
      </c>
      <c r="I67" s="50" t="str">
        <f>IFERROR(VLOOKUP($F67,'Project Summary'!$B$9:$M$106,5,FALSE),"")</f>
        <v>Safety</v>
      </c>
      <c r="J67" s="84">
        <f>IFERROR(VLOOKUP($F67,'Project Summary'!$B$9:$M$106,7,FALSE),"")</f>
        <v>272000</v>
      </c>
      <c r="K67" s="82">
        <v>16000</v>
      </c>
      <c r="L67" s="6">
        <f t="shared" si="1"/>
        <v>256000</v>
      </c>
      <c r="M67" s="9"/>
      <c r="N67" s="13"/>
      <c r="O67" s="8"/>
      <c r="P67" s="7"/>
      <c r="Q67" s="8"/>
      <c r="R67" s="14"/>
    </row>
    <row r="68" spans="1:18" s="11" customFormat="1" ht="26.4">
      <c r="A68" s="12">
        <v>63</v>
      </c>
      <c r="B68" s="34">
        <f t="shared" si="0"/>
        <v>63</v>
      </c>
      <c r="C68" s="4">
        <v>45929</v>
      </c>
      <c r="D68" s="16" t="s">
        <v>283</v>
      </c>
      <c r="E68" s="7"/>
      <c r="F68" s="78" t="s">
        <v>282</v>
      </c>
      <c r="G68" s="50" t="str">
        <f>IFERROR(VLOOKUP($F68,'Project Summary'!$B$9:$M$106,3,FALSE),"")</f>
        <v>CONSTRUCTION INDUSTRY COUNCIL</v>
      </c>
      <c r="H68" s="50" t="str">
        <f>IFERROR(VLOOKUP($F68,'Project Summary'!$B$9:$M$106,4,FALSE),"")</f>
        <v>建造業議會</v>
      </c>
      <c r="I68" s="50" t="str">
        <f>IFERROR(VLOOKUP($F68,'Project Summary'!$B$9:$M$106,5,FALSE),"")</f>
        <v>Levies</v>
      </c>
      <c r="J68" s="84">
        <f>IFERROR(VLOOKUP($F68,'Project Summary'!$B$9:$M$106,7,FALSE),"")</f>
        <v>14006</v>
      </c>
      <c r="K68" s="82">
        <v>5229</v>
      </c>
      <c r="L68" s="6">
        <f t="shared" si="1"/>
        <v>8777</v>
      </c>
      <c r="M68" s="9"/>
      <c r="N68" s="13"/>
      <c r="O68" s="8"/>
      <c r="P68" s="7"/>
      <c r="Q68" s="8"/>
      <c r="R68" s="14"/>
    </row>
    <row r="69" spans="1:18" s="11" customFormat="1" ht="26.4">
      <c r="A69" s="12">
        <v>64</v>
      </c>
      <c r="B69" s="34">
        <f t="shared" si="0"/>
        <v>64</v>
      </c>
      <c r="C69" s="4">
        <v>45936</v>
      </c>
      <c r="D69" s="16" t="s">
        <v>285</v>
      </c>
      <c r="E69" s="7"/>
      <c r="F69" s="78" t="s">
        <v>284</v>
      </c>
      <c r="G69" s="50" t="str">
        <f>IFERROR(VLOOKUP($F69,'Project Summary'!$B$9:$M$106,3,FALSE),"")</f>
        <v>PNEUMOCONIOSIS COMPENSATION FUND BOARD</v>
      </c>
      <c r="H69" s="50" t="str">
        <f>IFERROR(VLOOKUP($F69,'Project Summary'!$B$9:$M$106,4,FALSE),"")</f>
        <v>肺塵埃沉着病補償基金委員會</v>
      </c>
      <c r="I69" s="50" t="str">
        <f>IFERROR(VLOOKUP($F69,'Project Summary'!$B$9:$M$106,5,FALSE),"")</f>
        <v>Levies</v>
      </c>
      <c r="J69" s="84">
        <f>IFERROR(VLOOKUP($F69,'Project Summary'!$B$9:$M$106,7,FALSE),"")</f>
        <v>6279</v>
      </c>
      <c r="K69" s="82">
        <v>1480</v>
      </c>
      <c r="L69" s="6">
        <f t="shared" si="1"/>
        <v>4799</v>
      </c>
      <c r="M69" s="9"/>
      <c r="N69" s="13"/>
      <c r="O69" s="8"/>
      <c r="P69" s="7"/>
      <c r="Q69" s="8"/>
      <c r="R69" s="14"/>
    </row>
    <row r="70" spans="1:18" s="11" customFormat="1" ht="16.2">
      <c r="A70" s="12">
        <v>65</v>
      </c>
      <c r="B70" s="34">
        <f t="shared" ref="B70:B136" si="3">HYPERLINK("Z:\MePork\000 綜合\020 報價合約\Quotation\2024\MS_Q1241_24_kp (C9644-24C Extension of Fitness Room at KBD Recreation &amp; Sports Centre)\P1 - Payment\Payment records\"&amp;A70&amp;".PDF",A70)</f>
        <v>65</v>
      </c>
      <c r="C70" s="4"/>
      <c r="D70" s="16"/>
      <c r="E70" s="7"/>
      <c r="F70" s="78" t="s">
        <v>75</v>
      </c>
      <c r="G70" s="50" t="str">
        <f>IFERROR(VLOOKUP($F70,'Project Summary'!$B$9:$M$106,3,FALSE),"")</f>
        <v>WANG FAT CONSTRUCTION CO.</v>
      </c>
      <c r="H70" s="50" t="str">
        <f>IFERROR(VLOOKUP($F70,'Project Summary'!$B$9:$M$106,4,FALSE),"")</f>
        <v>宏發建築工程公司</v>
      </c>
      <c r="I70" s="50" t="str">
        <f>IFERROR(VLOOKUP($F70,'Project Summary'!$B$9:$M$106,5,FALSE),"")</f>
        <v>Builder's Works</v>
      </c>
      <c r="J70" s="84">
        <f>IFERROR(VLOOKUP($F70,'Project Summary'!$B$9:$M$106,7,FALSE),"")</f>
        <v>1900000</v>
      </c>
      <c r="K70" s="82">
        <v>199500</v>
      </c>
      <c r="L70" s="6">
        <f t="shared" si="1"/>
        <v>1700500</v>
      </c>
      <c r="M70" s="9"/>
      <c r="N70" s="12"/>
      <c r="O70" s="8"/>
      <c r="P70" s="7"/>
      <c r="Q70" s="8"/>
      <c r="R70" s="14"/>
    </row>
    <row r="71" spans="1:18" s="11" customFormat="1" ht="16.2">
      <c r="A71" s="12">
        <v>66</v>
      </c>
      <c r="B71" s="34">
        <f t="shared" si="3"/>
        <v>66</v>
      </c>
      <c r="C71" s="4">
        <v>45945</v>
      </c>
      <c r="D71" s="16" t="s">
        <v>287</v>
      </c>
      <c r="E71" s="7"/>
      <c r="F71" s="78" t="s">
        <v>286</v>
      </c>
      <c r="G71" s="50" t="str">
        <f>IFERROR(VLOOKUP($F71,'Project Summary'!$B$9:$M$106,3,FALSE),"")</f>
        <v>Environmental Protection Department</v>
      </c>
      <c r="H71" s="50" t="str">
        <f>IFERROR(VLOOKUP($F71,'Project Summary'!$B$9:$M$106,4,FALSE),"")</f>
        <v>環境保護署</v>
      </c>
      <c r="I71" s="50" t="str">
        <f>IFERROR(VLOOKUP($F71,'Project Summary'!$B$9:$M$106,5,FALSE),"")</f>
        <v>Waste Dispoal</v>
      </c>
      <c r="J71" s="84">
        <f>IFERROR(VLOOKUP($F71,'Project Summary'!$B$9:$M$106,7,FALSE),"")</f>
        <v>27242.5</v>
      </c>
      <c r="K71" s="82">
        <v>500</v>
      </c>
      <c r="L71" s="6">
        <f t="shared" ref="L71:L137" si="4">IFERROR(J71-K71,"")</f>
        <v>26742.5</v>
      </c>
      <c r="M71" s="9"/>
      <c r="N71" s="13"/>
      <c r="O71" s="8"/>
      <c r="P71" s="7"/>
      <c r="Q71" s="8"/>
      <c r="R71" s="14"/>
    </row>
    <row r="72" spans="1:18" s="11" customFormat="1" ht="16.2">
      <c r="A72" s="12">
        <v>67</v>
      </c>
      <c r="B72" s="34">
        <f t="shared" si="3"/>
        <v>67</v>
      </c>
      <c r="C72" s="4">
        <v>45931</v>
      </c>
      <c r="D72" s="16" t="s">
        <v>197</v>
      </c>
      <c r="E72" s="7"/>
      <c r="F72" s="79" t="s">
        <v>142</v>
      </c>
      <c r="G72" s="50" t="str">
        <f>IFERROR(VLOOKUP($F72,'Project Summary'!$B$9:$M$106,3,FALSE),"")</f>
        <v>CHIU MING COMPANY LIMITED</v>
      </c>
      <c r="H72" s="50" t="str">
        <f>IFERROR(VLOOKUP($F72,'Project Summary'!$B$9:$M$106,4,FALSE),"")</f>
        <v>照明工程有限公司</v>
      </c>
      <c r="I72" s="50" t="s">
        <v>380</v>
      </c>
      <c r="J72" s="84">
        <f>IFERROR(VLOOKUP($F72,'Project Summary'!$B$9:$M$106,7,FALSE),"")</f>
        <v>1100000</v>
      </c>
      <c r="K72" s="82">
        <v>56468</v>
      </c>
      <c r="L72" s="6">
        <f t="shared" si="4"/>
        <v>1043532</v>
      </c>
      <c r="M72" s="9"/>
      <c r="N72" s="13"/>
      <c r="O72" s="8"/>
      <c r="P72" s="7"/>
      <c r="Q72" s="8"/>
      <c r="R72" s="14"/>
    </row>
    <row r="73" spans="1:18" s="11" customFormat="1" ht="26.4">
      <c r="A73" s="12">
        <v>68</v>
      </c>
      <c r="B73" s="34">
        <f t="shared" si="3"/>
        <v>68</v>
      </c>
      <c r="C73" s="4">
        <v>45950</v>
      </c>
      <c r="D73" s="16" t="s">
        <v>288</v>
      </c>
      <c r="E73" s="7"/>
      <c r="F73" s="78" t="s">
        <v>289</v>
      </c>
      <c r="G73" s="50" t="str">
        <f>IFERROR(VLOOKUP($F73,'Project Summary'!$B$9:$M$106,3,FALSE),"")</f>
        <v>FIRE EXTINGUISHER SAFETY CONSULTANT</v>
      </c>
      <c r="H73" s="50" t="str">
        <f>IFERROR(VLOOKUP($F73,'Project Summary'!$B$9:$M$106,4,FALSE),"")</f>
        <v>滅火筒安全顧問</v>
      </c>
      <c r="I73" s="50" t="str">
        <f>IFERROR(VLOOKUP($F73,'Project Summary'!$B$9:$M$106,5,FALSE),"")</f>
        <v>Safety</v>
      </c>
      <c r="J73" s="84">
        <f>IFERROR(VLOOKUP($F73,'Project Summary'!$B$9:$M$106,7,FALSE),"")</f>
        <v>272000</v>
      </c>
      <c r="K73" s="82">
        <v>16000</v>
      </c>
      <c r="L73" s="6">
        <f t="shared" si="4"/>
        <v>256000</v>
      </c>
      <c r="M73" s="9"/>
      <c r="N73" s="13"/>
      <c r="O73" s="8"/>
      <c r="P73" s="7"/>
      <c r="Q73" s="8"/>
      <c r="R73" s="14"/>
    </row>
    <row r="74" spans="1:18" s="11" customFormat="1" ht="16.2">
      <c r="A74" s="12">
        <v>69</v>
      </c>
      <c r="B74" s="34">
        <f t="shared" si="3"/>
        <v>69</v>
      </c>
      <c r="C74" s="4">
        <v>45939</v>
      </c>
      <c r="D74" s="5" t="s">
        <v>290</v>
      </c>
      <c r="E74" s="20"/>
      <c r="F74" s="79" t="s">
        <v>73</v>
      </c>
      <c r="G74" s="50" t="str">
        <f>IFERROR(VLOOKUP($F74,'Project Summary'!$B$9:$M$106,3,FALSE),"")</f>
        <v>YING PAK ENGINEERING COMPANY</v>
      </c>
      <c r="H74" s="50" t="str">
        <f>IFERROR(VLOOKUP($F74,'Project Summary'!$B$9:$M$106,4,FALSE),"")</f>
        <v>盈泊工程公司</v>
      </c>
      <c r="I74" s="50" t="s">
        <v>314</v>
      </c>
      <c r="J74" s="84">
        <f>IFERROR(VLOOKUP($F74,'Project Summary'!$B$9:$M$106,7,FALSE),"")</f>
        <v>800000</v>
      </c>
      <c r="K74" s="82">
        <v>80000</v>
      </c>
      <c r="L74" s="6">
        <f t="shared" si="4"/>
        <v>720000</v>
      </c>
      <c r="M74" s="4"/>
      <c r="N74" s="16"/>
      <c r="O74" s="8"/>
      <c r="P74" s="7"/>
      <c r="Q74" s="19"/>
      <c r="R74" s="14"/>
    </row>
    <row r="75" spans="1:18" s="11" customFormat="1" ht="16.2">
      <c r="A75" s="12">
        <v>70</v>
      </c>
      <c r="B75" s="34">
        <f t="shared" si="3"/>
        <v>70</v>
      </c>
      <c r="C75" s="4">
        <v>45962</v>
      </c>
      <c r="D75" s="16" t="s">
        <v>197</v>
      </c>
      <c r="E75" s="7"/>
      <c r="F75" s="79" t="s">
        <v>142</v>
      </c>
      <c r="G75" s="50" t="str">
        <f>IFERROR(VLOOKUP($F75,'Project Summary'!$B$9:$M$106,3,FALSE),"")</f>
        <v>CHIU MING COMPANY LIMITED</v>
      </c>
      <c r="H75" s="50" t="str">
        <f>IFERROR(VLOOKUP($F75,'Project Summary'!$B$9:$M$106,4,FALSE),"")</f>
        <v>照明工程有限公司</v>
      </c>
      <c r="I75" s="50" t="s">
        <v>379</v>
      </c>
      <c r="J75" s="84">
        <f>IFERROR(VLOOKUP($F75,'Project Summary'!$B$9:$M$106,7,FALSE),"")</f>
        <v>1100000</v>
      </c>
      <c r="K75" s="82">
        <v>14250</v>
      </c>
      <c r="L75" s="6">
        <f t="shared" si="4"/>
        <v>1085750</v>
      </c>
      <c r="M75" s="9"/>
      <c r="N75" s="13"/>
      <c r="O75" s="8"/>
      <c r="P75" s="7"/>
      <c r="Q75" s="8"/>
      <c r="R75" s="14"/>
    </row>
    <row r="76" spans="1:18" s="11" customFormat="1" ht="16.2">
      <c r="A76" s="12">
        <v>71</v>
      </c>
      <c r="B76" s="34">
        <f t="shared" si="3"/>
        <v>71</v>
      </c>
      <c r="C76" s="4">
        <v>45967</v>
      </c>
      <c r="D76" s="16" t="s">
        <v>295</v>
      </c>
      <c r="E76" s="7"/>
      <c r="F76" s="79" t="s">
        <v>73</v>
      </c>
      <c r="G76" s="50" t="str">
        <f>IFERROR(VLOOKUP($F76,'Project Summary'!$B$9:$M$106,3,FALSE),"")</f>
        <v>YING PAK ENGINEERING COMPANY</v>
      </c>
      <c r="H76" s="50" t="str">
        <f>IFERROR(VLOOKUP($F76,'Project Summary'!$B$9:$M$106,4,FALSE),"")</f>
        <v>盈泊工程公司</v>
      </c>
      <c r="I76" s="50" t="s">
        <v>315</v>
      </c>
      <c r="J76" s="84">
        <f>IFERROR(VLOOKUP($F76,'Project Summary'!$B$9:$M$106,7,FALSE),"")</f>
        <v>800000</v>
      </c>
      <c r="K76" s="82">
        <v>80000</v>
      </c>
      <c r="L76" s="6">
        <f t="shared" si="4"/>
        <v>720000</v>
      </c>
      <c r="M76" s="9"/>
      <c r="N76" s="13"/>
      <c r="O76" s="8"/>
      <c r="P76" s="7"/>
      <c r="Q76" s="8"/>
      <c r="R76" s="14"/>
    </row>
    <row r="77" spans="1:18" s="11" customFormat="1" ht="16.2">
      <c r="A77" s="12">
        <v>72</v>
      </c>
      <c r="B77" s="34">
        <f t="shared" si="3"/>
        <v>72</v>
      </c>
      <c r="C77" s="4">
        <v>45925</v>
      </c>
      <c r="D77" s="16" t="s">
        <v>297</v>
      </c>
      <c r="E77" s="7"/>
      <c r="F77" s="78" t="s">
        <v>296</v>
      </c>
      <c r="G77" s="50" t="str">
        <f>IFERROR(VLOOKUP($F77,'Project Summary'!$B$9:$M$106,3,FALSE),"")</f>
        <v>SHUN SHING ELECTRICALS CO. LTD</v>
      </c>
      <c r="H77" s="50" t="str">
        <f>IFERROR(VLOOKUP($F77,'Project Summary'!$B$9:$M$106,4,FALSE),"")</f>
        <v>信成電器材料有限公司</v>
      </c>
      <c r="I77" s="50" t="str">
        <f>IFERROR(VLOOKUP($F77,'Project Summary'!$B$9:$M$106,5,FALSE),"")</f>
        <v>EL - Material</v>
      </c>
      <c r="J77" s="84">
        <f>IFERROR(VLOOKUP($F77,'Project Summary'!$B$9:$M$106,7,FALSE),"")</f>
        <v>4363</v>
      </c>
      <c r="K77" s="82">
        <v>4363</v>
      </c>
      <c r="L77" s="6">
        <f t="shared" si="4"/>
        <v>0</v>
      </c>
      <c r="M77" s="9"/>
      <c r="N77" s="13"/>
      <c r="O77" s="8"/>
      <c r="P77" s="7"/>
      <c r="Q77" s="8"/>
      <c r="R77" s="14"/>
    </row>
    <row r="78" spans="1:18" s="11" customFormat="1" ht="16.2">
      <c r="A78" s="12">
        <v>73</v>
      </c>
      <c r="B78" s="34">
        <f t="shared" si="3"/>
        <v>73</v>
      </c>
      <c r="C78" s="4">
        <v>45909</v>
      </c>
      <c r="D78" s="16" t="s">
        <v>299</v>
      </c>
      <c r="E78" s="7"/>
      <c r="F78" s="78" t="s">
        <v>298</v>
      </c>
      <c r="G78" s="50" t="str">
        <f>IFERROR(VLOOKUP($F78,'Project Summary'!$B$9:$M$106,3,FALSE),"")</f>
        <v>SHUN SHING ELECTRICALS CO. LTD</v>
      </c>
      <c r="H78" s="50" t="str">
        <f>IFERROR(VLOOKUP($F78,'Project Summary'!$B$9:$M$106,4,FALSE),"")</f>
        <v>信成電器材料有限公司</v>
      </c>
      <c r="I78" s="50" t="str">
        <f>IFERROR(VLOOKUP($F78,'Project Summary'!$B$9:$M$106,5,FALSE),"")</f>
        <v>EL - Material</v>
      </c>
      <c r="J78" s="84">
        <f>IFERROR(VLOOKUP($F78,'Project Summary'!$B$9:$M$106,7,FALSE),"")</f>
        <v>1803</v>
      </c>
      <c r="K78" s="82">
        <v>1803</v>
      </c>
      <c r="L78" s="6">
        <f t="shared" si="4"/>
        <v>0</v>
      </c>
      <c r="M78" s="13"/>
      <c r="N78" s="13"/>
      <c r="O78" s="8"/>
      <c r="P78" s="7"/>
      <c r="Q78" s="8"/>
      <c r="R78" s="14"/>
    </row>
    <row r="79" spans="1:18" s="11" customFormat="1" ht="16.2">
      <c r="A79" s="12">
        <v>74</v>
      </c>
      <c r="B79" s="34">
        <f t="shared" si="3"/>
        <v>74</v>
      </c>
      <c r="C79" s="4">
        <v>45979</v>
      </c>
      <c r="D79" s="16" t="s">
        <v>301</v>
      </c>
      <c r="E79" s="7"/>
      <c r="F79" s="78" t="s">
        <v>300</v>
      </c>
      <c r="G79" s="50" t="str">
        <f>IFERROR(VLOOKUP($F79,'Project Summary'!$B$9:$M$106,3,FALSE),"")</f>
        <v>SHUN SHING ELECTRICALS CO. LTD</v>
      </c>
      <c r="H79" s="50" t="str">
        <f>IFERROR(VLOOKUP($F79,'Project Summary'!$B$9:$M$106,4,FALSE),"")</f>
        <v>信成電器材料有限公司</v>
      </c>
      <c r="I79" s="50" t="str">
        <f>IFERROR(VLOOKUP($F79,'Project Summary'!$B$9:$M$106,5,FALSE),"")</f>
        <v>EL - Material</v>
      </c>
      <c r="J79" s="84">
        <f>IFERROR(VLOOKUP($F79,'Project Summary'!$B$9:$M$106,7,FALSE),"")</f>
        <v>2584</v>
      </c>
      <c r="K79" s="82">
        <v>2584</v>
      </c>
      <c r="L79" s="6">
        <f t="shared" si="4"/>
        <v>0</v>
      </c>
      <c r="M79" s="9"/>
      <c r="N79" s="13"/>
      <c r="O79" s="8"/>
      <c r="P79" s="7"/>
      <c r="Q79" s="8"/>
      <c r="R79" s="14"/>
    </row>
    <row r="80" spans="1:18" s="11" customFormat="1" ht="16.2">
      <c r="A80" s="12">
        <v>75</v>
      </c>
      <c r="B80" s="34">
        <f t="shared" si="3"/>
        <v>75</v>
      </c>
      <c r="C80" s="4">
        <v>45910</v>
      </c>
      <c r="D80" s="16" t="s">
        <v>303</v>
      </c>
      <c r="E80" s="7"/>
      <c r="F80" s="78" t="s">
        <v>302</v>
      </c>
      <c r="G80" s="50" t="str">
        <f>IFERROR(VLOOKUP($F80,'Project Summary'!$B$9:$M$106,3,FALSE),"")</f>
        <v>SHUN SHING ELECTRICALS CO. LTD</v>
      </c>
      <c r="H80" s="50" t="str">
        <f>IFERROR(VLOOKUP($F80,'Project Summary'!$B$9:$M$106,4,FALSE),"")</f>
        <v>信成電器材料有限公司</v>
      </c>
      <c r="I80" s="50" t="str">
        <f>IFERROR(VLOOKUP($F80,'Project Summary'!$B$9:$M$106,5,FALSE),"")</f>
        <v>EL - Material</v>
      </c>
      <c r="J80" s="84">
        <f>IFERROR(VLOOKUP($F80,'Project Summary'!$B$9:$M$106,7,FALSE),"")</f>
        <v>6425</v>
      </c>
      <c r="K80" s="82">
        <v>6425</v>
      </c>
      <c r="L80" s="6">
        <f t="shared" si="4"/>
        <v>0</v>
      </c>
      <c r="M80" s="9"/>
      <c r="N80" s="13"/>
      <c r="O80" s="8"/>
      <c r="P80" s="7"/>
      <c r="Q80" s="8"/>
      <c r="R80" s="14"/>
    </row>
    <row r="81" spans="1:18" s="11" customFormat="1" ht="26.4">
      <c r="A81" s="12">
        <v>76</v>
      </c>
      <c r="B81" s="34">
        <f t="shared" si="3"/>
        <v>76</v>
      </c>
      <c r="C81" s="4">
        <v>45979</v>
      </c>
      <c r="D81" s="16" t="s">
        <v>305</v>
      </c>
      <c r="E81" s="7"/>
      <c r="F81" s="78" t="s">
        <v>304</v>
      </c>
      <c r="G81" s="50" t="str">
        <f>IFERROR(VLOOKUP($F81,'Project Summary'!$B$9:$M$106,3,FALSE),"")</f>
        <v>FIRE EXTINGUISHER SAFETY CONSULTANT</v>
      </c>
      <c r="H81" s="50" t="str">
        <f>IFERROR(VLOOKUP($F81,'Project Summary'!$B$9:$M$106,4,FALSE),"")</f>
        <v>滅火筒安全顧問</v>
      </c>
      <c r="I81" s="50" t="str">
        <f>IFERROR(VLOOKUP($F81,'Project Summary'!$B$9:$M$106,5,FALSE),"")</f>
        <v>Safety</v>
      </c>
      <c r="J81" s="84">
        <f>IFERROR(VLOOKUP($F81,'Project Summary'!$B$9:$M$106,7,FALSE),"")</f>
        <v>272000</v>
      </c>
      <c r="K81" s="82">
        <v>16000</v>
      </c>
      <c r="L81" s="6">
        <f t="shared" si="4"/>
        <v>256000</v>
      </c>
      <c r="M81" s="9"/>
      <c r="N81" s="13"/>
      <c r="O81" s="8"/>
      <c r="P81" s="7"/>
      <c r="Q81" s="8"/>
      <c r="R81" s="14"/>
    </row>
    <row r="82" spans="1:18" s="11" customFormat="1" ht="16.2">
      <c r="A82" s="12">
        <v>77</v>
      </c>
      <c r="B82" s="34">
        <f t="shared" si="3"/>
        <v>77</v>
      </c>
      <c r="C82" s="4">
        <v>45995</v>
      </c>
      <c r="D82" s="16"/>
      <c r="E82" s="7"/>
      <c r="F82" s="78" t="s">
        <v>306</v>
      </c>
      <c r="G82" s="50" t="str">
        <f>IFERROR(VLOOKUP($F82,'Project Summary'!$B$9:$M$106,3,FALSE),"")</f>
        <v>WANG FAT CONSTRUCTION CO.</v>
      </c>
      <c r="H82" s="50" t="str">
        <f>IFERROR(VLOOKUP($F82,'Project Summary'!$B$9:$M$106,4,FALSE),"")</f>
        <v>宏發建築工程公司</v>
      </c>
      <c r="I82" s="50" t="str">
        <f>IFERROR(VLOOKUP($F82,'Project Summary'!$B$9:$M$106,5,FALSE),"")</f>
        <v>Builder's Works</v>
      </c>
      <c r="J82" s="84">
        <f>IFERROR(VLOOKUP($F82,'Project Summary'!$B$9:$M$106,7,FALSE),"")</f>
        <v>1900000</v>
      </c>
      <c r="K82" s="82">
        <v>365750</v>
      </c>
      <c r="L82" s="6">
        <f t="shared" si="4"/>
        <v>1534250</v>
      </c>
      <c r="M82" s="9"/>
      <c r="N82" s="13"/>
      <c r="O82" s="8"/>
      <c r="P82" s="7"/>
      <c r="Q82" s="8"/>
      <c r="R82" s="14"/>
    </row>
    <row r="83" spans="1:18" s="11" customFormat="1" ht="16.2">
      <c r="A83" s="12">
        <v>78</v>
      </c>
      <c r="B83" s="34">
        <f t="shared" si="3"/>
        <v>78</v>
      </c>
      <c r="C83" s="4">
        <v>45990</v>
      </c>
      <c r="D83" s="16" t="s">
        <v>308</v>
      </c>
      <c r="E83" s="7"/>
      <c r="F83" s="79" t="s">
        <v>307</v>
      </c>
      <c r="G83" s="50" t="str">
        <f>IFERROR(VLOOKUP($F83,'Project Summary'!$B$9:$M$106,3,FALSE),"")</f>
        <v>YING PAK ENGINEERING COMPANY</v>
      </c>
      <c r="H83" s="50" t="str">
        <f>IFERROR(VLOOKUP($F83,'Project Summary'!$B$9:$M$106,4,FALSE),"")</f>
        <v>盈泊工程公司</v>
      </c>
      <c r="I83" s="50" t="s">
        <v>316</v>
      </c>
      <c r="J83" s="84">
        <f>IFERROR(VLOOKUP($F83,'Project Summary'!$B$9:$M$106,7,FALSE),"")</f>
        <v>800000</v>
      </c>
      <c r="K83" s="82">
        <v>100000</v>
      </c>
      <c r="L83" s="6">
        <f t="shared" si="4"/>
        <v>700000</v>
      </c>
      <c r="M83" s="9"/>
      <c r="N83" s="13"/>
      <c r="O83" s="8"/>
      <c r="P83" s="7"/>
      <c r="Q83" s="8"/>
      <c r="R83" s="14"/>
    </row>
    <row r="84" spans="1:18" s="148" customFormat="1" ht="26.4">
      <c r="A84" s="218">
        <v>79</v>
      </c>
      <c r="B84" s="34">
        <f t="shared" si="3"/>
        <v>79</v>
      </c>
      <c r="C84" s="128">
        <v>45967</v>
      </c>
      <c r="D84" s="222" t="s">
        <v>318</v>
      </c>
      <c r="E84" s="134"/>
      <c r="F84" s="219" t="s">
        <v>319</v>
      </c>
      <c r="G84" s="141" t="str">
        <f>IFERROR(VLOOKUP($F84,'Project Summary'!$B$9:$M$106,3,FALSE),"")</f>
        <v>CHASE ENGINEERING LIMITED</v>
      </c>
      <c r="H84" s="141" t="str">
        <f>IFERROR(VLOOKUP($F84,'Project Summary'!$B$9:$M$106,4,FALSE),"")</f>
        <v>大同工程有限公司</v>
      </c>
      <c r="I84" s="141" t="str">
        <f>IFERROR(VLOOKUP($F84,'Project Summary'!$B$9:$M$106,5,FALSE),"")</f>
        <v>Supply Smoke Detector</v>
      </c>
      <c r="J84" s="84">
        <f>IFERROR(VLOOKUP($F84,'Project Summary'!$B$9:$M$106,7,FALSE),"")</f>
        <v>12000</v>
      </c>
      <c r="K84" s="139">
        <v>12000</v>
      </c>
      <c r="L84" s="139">
        <f t="shared" si="4"/>
        <v>0</v>
      </c>
      <c r="M84" s="128"/>
      <c r="N84" s="129"/>
      <c r="O84" s="144"/>
      <c r="P84" s="127"/>
      <c r="Q84" s="144"/>
      <c r="R84" s="223" t="s">
        <v>320</v>
      </c>
    </row>
    <row r="85" spans="1:18" s="11" customFormat="1" ht="16.2">
      <c r="A85" s="12">
        <v>80</v>
      </c>
      <c r="B85" s="34">
        <f t="shared" si="3"/>
        <v>80</v>
      </c>
      <c r="C85" s="4">
        <v>45992</v>
      </c>
      <c r="D85" s="16" t="s">
        <v>197</v>
      </c>
      <c r="E85" s="7"/>
      <c r="F85" s="79" t="s">
        <v>321</v>
      </c>
      <c r="G85" s="50" t="str">
        <f>IFERROR(VLOOKUP($F85,'Project Summary'!$B$9:$M$106,3,FALSE),"")</f>
        <v>CHIU MING COMPANY LIMITED</v>
      </c>
      <c r="H85" s="50" t="str">
        <f>IFERROR(VLOOKUP($F85,'Project Summary'!$B$9:$M$106,4,FALSE),"")</f>
        <v>照明工程有限公司</v>
      </c>
      <c r="I85" s="50" t="s">
        <v>378</v>
      </c>
      <c r="J85" s="84">
        <f>IFERROR(VLOOKUP($F85,'Project Summary'!$B$9:$M$106,7,FALSE),"")</f>
        <v>1100000</v>
      </c>
      <c r="K85" s="82">
        <v>68537.75</v>
      </c>
      <c r="L85" s="6">
        <f t="shared" si="4"/>
        <v>1031462.25</v>
      </c>
      <c r="M85" s="4"/>
      <c r="N85" s="16"/>
      <c r="O85" s="8"/>
      <c r="P85" s="7"/>
      <c r="Q85" s="8"/>
      <c r="R85" s="14"/>
    </row>
    <row r="86" spans="1:18" s="11" customFormat="1" ht="16.2">
      <c r="A86" s="12">
        <v>81</v>
      </c>
      <c r="B86" s="34">
        <f t="shared" si="3"/>
        <v>81</v>
      </c>
      <c r="C86" s="4">
        <v>46003</v>
      </c>
      <c r="D86" s="16"/>
      <c r="E86" s="7"/>
      <c r="F86" s="78" t="s">
        <v>322</v>
      </c>
      <c r="G86" s="50" t="str">
        <f>IFERROR(VLOOKUP($F86,'Project Summary'!$B$9:$M$106,3,FALSE),"")</f>
        <v>Miscellaneous</v>
      </c>
      <c r="H86" s="50">
        <f>IFERROR(VLOOKUP($F86,'Project Summary'!$B$9:$M$106,4,FALSE),"")</f>
        <v>0</v>
      </c>
      <c r="I86" s="50">
        <f>IFERROR(VLOOKUP($F86,'Project Summary'!$B$9:$M$106,5,FALSE),"")</f>
        <v>0</v>
      </c>
      <c r="J86" s="84">
        <f>IFERROR(VLOOKUP($F86,'Project Summary'!$B$9:$M$106,7,FALSE),"")</f>
        <v>12038.9</v>
      </c>
      <c r="K86" s="82">
        <v>1827</v>
      </c>
      <c r="L86" s="6">
        <f t="shared" si="4"/>
        <v>10211.9</v>
      </c>
      <c r="M86" s="9"/>
      <c r="N86" s="13"/>
      <c r="O86" s="8"/>
      <c r="P86" s="7"/>
      <c r="Q86" s="8"/>
      <c r="R86" s="14"/>
    </row>
    <row r="87" spans="1:18" s="11" customFormat="1" ht="16.2">
      <c r="A87" s="12">
        <v>82</v>
      </c>
      <c r="B87" s="34">
        <f t="shared" si="3"/>
        <v>82</v>
      </c>
      <c r="C87" s="4">
        <v>46010</v>
      </c>
      <c r="D87" s="16"/>
      <c r="E87" s="7"/>
      <c r="F87" s="78" t="s">
        <v>325</v>
      </c>
      <c r="G87" s="50" t="str">
        <f>IFERROR(VLOOKUP($F87,'Project Summary'!$B$9:$M$106,3,FALSE),"")</f>
        <v>Miscellaneous</v>
      </c>
      <c r="H87" s="50">
        <f>IFERROR(VLOOKUP($F87,'Project Summary'!$B$9:$M$106,4,FALSE),"")</f>
        <v>0</v>
      </c>
      <c r="I87" s="50">
        <f>IFERROR(VLOOKUP($F87,'Project Summary'!$B$9:$M$106,5,FALSE),"")</f>
        <v>0</v>
      </c>
      <c r="J87" s="84">
        <f>IFERROR(VLOOKUP($F87,'Project Summary'!$B$9:$M$106,7,FALSE),"")</f>
        <v>12038.9</v>
      </c>
      <c r="K87" s="82">
        <v>1685</v>
      </c>
      <c r="L87" s="6">
        <f t="shared" si="4"/>
        <v>10353.9</v>
      </c>
      <c r="M87" s="9"/>
      <c r="N87" s="13"/>
      <c r="O87" s="8"/>
      <c r="P87" s="7"/>
      <c r="Q87" s="8"/>
      <c r="R87" s="14"/>
    </row>
    <row r="88" spans="1:18" s="11" customFormat="1" ht="26.4">
      <c r="A88" s="12">
        <v>83</v>
      </c>
      <c r="B88" s="34">
        <f t="shared" si="3"/>
        <v>83</v>
      </c>
      <c r="C88" s="4">
        <v>46017</v>
      </c>
      <c r="D88" s="16" t="s">
        <v>326</v>
      </c>
      <c r="E88" s="7"/>
      <c r="F88" s="78" t="s">
        <v>124</v>
      </c>
      <c r="G88" s="50" t="str">
        <f>IFERROR(VLOOKUP($F88,'Project Summary'!$B$9:$M$106,3,FALSE),"")</f>
        <v>FIRE EXTINGUISHER SAFETY CONSULTANT</v>
      </c>
      <c r="H88" s="50" t="str">
        <f>IFERROR(VLOOKUP($F88,'Project Summary'!$B$9:$M$106,4,FALSE),"")</f>
        <v>滅火筒安全顧問</v>
      </c>
      <c r="I88" s="50" t="str">
        <f>IFERROR(VLOOKUP($F88,'Project Summary'!$B$9:$M$106,5,FALSE),"")</f>
        <v>Safety</v>
      </c>
      <c r="J88" s="84">
        <f>IFERROR(VLOOKUP($F88,'Project Summary'!$B$9:$M$106,7,FALSE),"")</f>
        <v>272000</v>
      </c>
      <c r="K88" s="82">
        <v>16000</v>
      </c>
      <c r="L88" s="6">
        <f t="shared" si="4"/>
        <v>256000</v>
      </c>
      <c r="M88" s="28"/>
      <c r="N88" s="21"/>
      <c r="O88" s="8"/>
      <c r="P88" s="7"/>
      <c r="Q88" s="8"/>
      <c r="R88" s="14"/>
    </row>
    <row r="89" spans="1:18" s="11" customFormat="1" ht="16.2">
      <c r="A89" s="12">
        <v>84</v>
      </c>
      <c r="B89" s="34">
        <f t="shared" si="3"/>
        <v>84</v>
      </c>
      <c r="C89" s="4">
        <v>45992</v>
      </c>
      <c r="D89" s="16" t="s">
        <v>197</v>
      </c>
      <c r="E89" s="7"/>
      <c r="F89" s="78" t="s">
        <v>327</v>
      </c>
      <c r="G89" s="50" t="str">
        <f>IFERROR(VLOOKUP($F89,'Project Summary'!$B$9:$M$106,3,FALSE),"")</f>
        <v>CHIU MING COMPANY LIMITED</v>
      </c>
      <c r="H89" s="50" t="str">
        <f>IFERROR(VLOOKUP($F89,'Project Summary'!$B$9:$M$106,4,FALSE),"")</f>
        <v>照明工程有限公司</v>
      </c>
      <c r="I89" s="50" t="s">
        <v>391</v>
      </c>
      <c r="J89" s="84">
        <f>IFERROR(VLOOKUP($F89,'Project Summary'!$B$9:$M$106,7,FALSE),"")</f>
        <v>112880</v>
      </c>
      <c r="K89" s="82">
        <v>56440</v>
      </c>
      <c r="L89" s="6">
        <f t="shared" si="4"/>
        <v>56440</v>
      </c>
      <c r="M89" s="9"/>
      <c r="N89" s="13"/>
      <c r="O89" s="8"/>
      <c r="P89" s="7"/>
      <c r="Q89" s="8"/>
      <c r="R89" s="14"/>
    </row>
    <row r="90" spans="1:18" s="11" customFormat="1" ht="16.2">
      <c r="A90" s="230">
        <v>85.1</v>
      </c>
      <c r="B90" s="231">
        <v>85.1</v>
      </c>
      <c r="C90" s="232">
        <v>46054</v>
      </c>
      <c r="D90" s="233" t="s">
        <v>359</v>
      </c>
      <c r="E90" s="78"/>
      <c r="F90" s="78" t="s">
        <v>142</v>
      </c>
      <c r="G90" s="50" t="str">
        <f>IFERROR(VLOOKUP($F90,'Project Summary'!$B$9:$M$106,3,FALSE),"")</f>
        <v>CHIU MING COMPANY LIMITED</v>
      </c>
      <c r="H90" s="50" t="str">
        <f>IFERROR(VLOOKUP($F90,'Project Summary'!$B$9:$M$106,4,FALSE),"")</f>
        <v>照明工程有限公司</v>
      </c>
      <c r="I90" s="50" t="s">
        <v>376</v>
      </c>
      <c r="J90" s="84">
        <f>IFERROR(VLOOKUP($F90,'Project Summary'!$B$9:$M$106,7,FALSE),"")</f>
        <v>1100000</v>
      </c>
      <c r="K90" s="82">
        <v>45698.8</v>
      </c>
      <c r="L90" s="6">
        <f t="shared" ref="L90" si="5">IFERROR(J90-K90,"")</f>
        <v>1054301.2</v>
      </c>
      <c r="M90" s="234"/>
      <c r="N90" s="235"/>
      <c r="O90" s="236"/>
      <c r="P90" s="78"/>
      <c r="Q90" s="236"/>
      <c r="R90" s="237"/>
    </row>
    <row r="91" spans="1:18" s="11" customFormat="1" ht="16.2">
      <c r="A91" s="12">
        <v>85</v>
      </c>
      <c r="B91" s="34">
        <f t="shared" si="3"/>
        <v>85</v>
      </c>
      <c r="C91" s="4">
        <v>46054</v>
      </c>
      <c r="D91" s="16" t="s">
        <v>197</v>
      </c>
      <c r="E91" s="7"/>
      <c r="F91" s="78" t="s">
        <v>96</v>
      </c>
      <c r="G91" s="50" t="str">
        <f>IFERROR(VLOOKUP($F91,'Project Summary'!$B$9:$M$106,3,FALSE),"")</f>
        <v>CHASE ENGINEERING LIMITED</v>
      </c>
      <c r="H91" s="50" t="str">
        <f>IFERROR(VLOOKUP($F91,'Project Summary'!$B$9:$M$106,4,FALSE),"")</f>
        <v>大同工程有限公司</v>
      </c>
      <c r="I91" s="50" t="str">
        <f>IFERROR(VLOOKUP($F91,'Project Summary'!$B$9:$M$106,5,FALSE),"")</f>
        <v>Fire Services Installation</v>
      </c>
      <c r="J91" s="84">
        <f>IFERROR(VLOOKUP($F91,'Project Summary'!$B$9:$M$106,7,FALSE),"")</f>
        <v>800000</v>
      </c>
      <c r="K91" s="82">
        <v>118750</v>
      </c>
      <c r="L91" s="6">
        <f t="shared" si="4"/>
        <v>681250</v>
      </c>
      <c r="M91" s="9"/>
      <c r="N91" s="13"/>
      <c r="O91" s="8"/>
      <c r="P91" s="7"/>
      <c r="Q91" s="8"/>
      <c r="R91" s="14"/>
    </row>
    <row r="92" spans="1:18" s="11" customFormat="1" ht="26.4">
      <c r="A92" s="12">
        <v>86</v>
      </c>
      <c r="B92" s="34">
        <f t="shared" si="3"/>
        <v>86</v>
      </c>
      <c r="C92" s="4">
        <v>46042</v>
      </c>
      <c r="D92" s="16" t="s">
        <v>357</v>
      </c>
      <c r="E92" s="7"/>
      <c r="F92" s="78" t="s">
        <v>163</v>
      </c>
      <c r="G92" s="50" t="str">
        <f>IFERROR(VLOOKUP($F92,'Project Summary'!$B$9:$M$106,3,FALSE),"")</f>
        <v>PNEUMOCONIOSIS COMPENSATION FUND BOARD</v>
      </c>
      <c r="H92" s="50" t="str">
        <f>IFERROR(VLOOKUP($F92,'Project Summary'!$B$9:$M$106,4,FALSE),"")</f>
        <v>肺塵埃沉着病補償基金委員會</v>
      </c>
      <c r="I92" s="50" t="str">
        <f>IFERROR(VLOOKUP($F92,'Project Summary'!$B$9:$M$106,5,FALSE),"")</f>
        <v>Levies</v>
      </c>
      <c r="J92" s="84">
        <f>IFERROR(VLOOKUP($F92,'Project Summary'!$B$9:$M$106,7,FALSE),"")</f>
        <v>6279</v>
      </c>
      <c r="K92" s="82">
        <v>1174</v>
      </c>
      <c r="L92" s="6">
        <f t="shared" si="4"/>
        <v>5105</v>
      </c>
      <c r="M92" s="9"/>
      <c r="N92" s="13"/>
      <c r="O92" s="8"/>
      <c r="P92" s="7"/>
      <c r="Q92" s="8"/>
      <c r="R92" s="14"/>
    </row>
    <row r="93" spans="1:18" s="11" customFormat="1" ht="16.2">
      <c r="A93" s="12">
        <v>87</v>
      </c>
      <c r="B93" s="34">
        <f t="shared" si="3"/>
        <v>87</v>
      </c>
      <c r="C93" s="4">
        <v>46049</v>
      </c>
      <c r="D93" s="16" t="s">
        <v>197</v>
      </c>
      <c r="E93" s="7"/>
      <c r="F93" s="78" t="s">
        <v>358</v>
      </c>
      <c r="G93" s="50" t="str">
        <f>IFERROR(VLOOKUP($F93,'Project Summary'!$B$9:$M$106,3,FALSE),"")</f>
        <v>CHIU MING COMPANY LIMITED</v>
      </c>
      <c r="H93" s="50" t="str">
        <f>IFERROR(VLOOKUP($F93,'Project Summary'!$B$9:$M$106,4,FALSE),"")</f>
        <v>照明工程有限公司</v>
      </c>
      <c r="I93" s="50" t="s">
        <v>377</v>
      </c>
      <c r="J93" s="84">
        <f>IFERROR(VLOOKUP($F93,'Project Summary'!$B$9:$M$106,7,FALSE),"")</f>
        <v>1100000</v>
      </c>
      <c r="K93" s="82">
        <v>38000</v>
      </c>
      <c r="L93" s="6">
        <f t="shared" ref="L93" si="6">IFERROR(J93-K93,"")</f>
        <v>1062000</v>
      </c>
      <c r="M93" s="9"/>
      <c r="N93" s="13"/>
      <c r="O93" s="8"/>
      <c r="P93" s="7"/>
      <c r="Q93" s="8"/>
      <c r="R93" s="14"/>
    </row>
    <row r="94" spans="1:18" s="11" customFormat="1" ht="16.2">
      <c r="A94" s="12">
        <v>88</v>
      </c>
      <c r="B94" s="34">
        <f t="shared" si="3"/>
        <v>88</v>
      </c>
      <c r="C94" s="4">
        <v>45964</v>
      </c>
      <c r="D94" s="16" t="s">
        <v>340</v>
      </c>
      <c r="E94" s="7"/>
      <c r="F94" s="78" t="s">
        <v>339</v>
      </c>
      <c r="G94" s="50" t="s">
        <v>341</v>
      </c>
      <c r="H94" s="50" t="s">
        <v>342</v>
      </c>
      <c r="I94" s="50" t="s">
        <v>343</v>
      </c>
      <c r="J94" s="84">
        <f>IFERROR(VLOOKUP($F94,'Project Summary'!$B$9:$M$106,7,FALSE),"")</f>
        <v>475.4</v>
      </c>
      <c r="K94" s="82">
        <v>475.4</v>
      </c>
      <c r="L94" s="6">
        <f t="shared" si="4"/>
        <v>0</v>
      </c>
      <c r="M94" s="9"/>
      <c r="N94" s="13"/>
      <c r="O94" s="8"/>
      <c r="P94" s="7"/>
      <c r="Q94" s="8"/>
      <c r="R94" s="29"/>
    </row>
    <row r="95" spans="1:18" s="11" customFormat="1" ht="16.2">
      <c r="A95" s="12">
        <v>89</v>
      </c>
      <c r="B95" s="34">
        <f t="shared" si="3"/>
        <v>89</v>
      </c>
      <c r="C95" s="4">
        <v>46086</v>
      </c>
      <c r="D95" s="16" t="s">
        <v>403</v>
      </c>
      <c r="E95" s="7"/>
      <c r="F95" s="78" t="s">
        <v>344</v>
      </c>
      <c r="G95" s="50" t="s">
        <v>341</v>
      </c>
      <c r="H95" s="50" t="s">
        <v>342</v>
      </c>
      <c r="I95" s="50" t="s">
        <v>343</v>
      </c>
      <c r="J95" s="84">
        <f>IFERROR(VLOOKUP($F95,'Project Summary'!$B$9:$M$106,7,FALSE),"")</f>
        <v>275.2</v>
      </c>
      <c r="K95" s="82">
        <v>275.2</v>
      </c>
      <c r="L95" s="6">
        <f t="shared" si="4"/>
        <v>0</v>
      </c>
      <c r="M95" s="9"/>
      <c r="N95" s="13"/>
      <c r="O95" s="8"/>
      <c r="P95" s="7"/>
      <c r="Q95" s="8"/>
      <c r="R95" s="14"/>
    </row>
    <row r="96" spans="1:18" s="11" customFormat="1" ht="16.2">
      <c r="A96" s="12">
        <v>90</v>
      </c>
      <c r="B96" s="34">
        <f t="shared" si="3"/>
        <v>90</v>
      </c>
      <c r="C96" s="4">
        <v>46032</v>
      </c>
      <c r="D96" s="16" t="s">
        <v>405</v>
      </c>
      <c r="E96" s="7"/>
      <c r="F96" s="78" t="s">
        <v>404</v>
      </c>
      <c r="G96" s="50" t="s">
        <v>341</v>
      </c>
      <c r="H96" s="50" t="s">
        <v>342</v>
      </c>
      <c r="I96" s="50" t="s">
        <v>343</v>
      </c>
      <c r="J96" s="84">
        <f>IFERROR(VLOOKUP($F96,'Project Summary'!$B$9:$M$106,7,FALSE),"")</f>
        <v>8460</v>
      </c>
      <c r="K96" s="82">
        <v>8460</v>
      </c>
      <c r="L96" s="6">
        <f t="shared" si="4"/>
        <v>0</v>
      </c>
      <c r="M96" s="9"/>
      <c r="N96" s="13"/>
      <c r="O96" s="8"/>
      <c r="P96" s="7"/>
      <c r="Q96" s="8"/>
      <c r="R96" s="14"/>
    </row>
    <row r="97" spans="1:18" s="11" customFormat="1" ht="16.2">
      <c r="A97" s="12">
        <v>91</v>
      </c>
      <c r="B97" s="34">
        <f t="shared" si="3"/>
        <v>91</v>
      </c>
      <c r="C97" s="4">
        <v>46041</v>
      </c>
      <c r="D97" s="16" t="s">
        <v>407</v>
      </c>
      <c r="E97" s="7"/>
      <c r="F97" s="78" t="s">
        <v>406</v>
      </c>
      <c r="G97" s="50" t="s">
        <v>341</v>
      </c>
      <c r="H97" s="50" t="s">
        <v>342</v>
      </c>
      <c r="I97" s="50" t="s">
        <v>343</v>
      </c>
      <c r="J97" s="84">
        <f>IFERROR(VLOOKUP($F97,'Project Summary'!$B$9:$M$106,7,FALSE),"")</f>
        <v>1625</v>
      </c>
      <c r="K97" s="82">
        <v>1625</v>
      </c>
      <c r="L97" s="6">
        <f t="shared" si="4"/>
        <v>0</v>
      </c>
      <c r="M97" s="9"/>
      <c r="N97" s="13"/>
      <c r="O97" s="8"/>
      <c r="P97" s="7"/>
      <c r="Q97" s="8"/>
      <c r="R97" s="14"/>
    </row>
    <row r="98" spans="1:18" s="11" customFormat="1" ht="16.2">
      <c r="A98" s="12">
        <v>91.1</v>
      </c>
      <c r="B98" s="34">
        <f t="shared" si="3"/>
        <v>91.1</v>
      </c>
      <c r="C98" s="4">
        <v>46032</v>
      </c>
      <c r="D98" s="16" t="s">
        <v>409</v>
      </c>
      <c r="E98" s="7"/>
      <c r="F98" s="78" t="s">
        <v>408</v>
      </c>
      <c r="G98" s="50" t="s">
        <v>341</v>
      </c>
      <c r="H98" s="50" t="s">
        <v>342</v>
      </c>
      <c r="I98" s="50" t="s">
        <v>343</v>
      </c>
      <c r="J98" s="84">
        <f>IFERROR(VLOOKUP($F98,'Project Summary'!$B$9:$M$106,7,FALSE),"")</f>
        <v>6335</v>
      </c>
      <c r="K98" s="82">
        <v>6335</v>
      </c>
      <c r="L98" s="6">
        <f t="shared" si="4"/>
        <v>0</v>
      </c>
      <c r="M98" s="9"/>
      <c r="N98" s="13"/>
      <c r="O98" s="8"/>
      <c r="P98" s="7"/>
      <c r="Q98" s="8"/>
      <c r="R98" s="14"/>
    </row>
    <row r="99" spans="1:18" s="11" customFormat="1" ht="16.2">
      <c r="A99" s="12">
        <v>91.2</v>
      </c>
      <c r="B99" s="34">
        <f t="shared" si="3"/>
        <v>91.2</v>
      </c>
      <c r="C99" s="4" t="s">
        <v>410</v>
      </c>
      <c r="D99" s="16" t="s">
        <v>411</v>
      </c>
      <c r="E99" s="7"/>
      <c r="F99" s="78" t="s">
        <v>412</v>
      </c>
      <c r="G99" s="50" t="s">
        <v>341</v>
      </c>
      <c r="H99" s="50" t="s">
        <v>342</v>
      </c>
      <c r="I99" s="50" t="s">
        <v>343</v>
      </c>
      <c r="J99" s="84">
        <f>IFERROR(VLOOKUP($F99,'Project Summary'!$B$9:$M$106,7,FALSE),"")</f>
        <v>16028.8</v>
      </c>
      <c r="K99" s="82">
        <v>16028.8</v>
      </c>
      <c r="L99" s="6">
        <f t="shared" si="4"/>
        <v>0</v>
      </c>
      <c r="M99" s="9"/>
      <c r="N99" s="13"/>
      <c r="O99" s="8"/>
      <c r="P99" s="7"/>
      <c r="Q99" s="8"/>
      <c r="R99" s="14"/>
    </row>
    <row r="100" spans="1:18" s="11" customFormat="1" ht="16.2">
      <c r="A100" s="12">
        <v>92</v>
      </c>
      <c r="B100" s="34">
        <f t="shared" si="3"/>
        <v>92</v>
      </c>
      <c r="C100" s="4">
        <v>46059</v>
      </c>
      <c r="D100" s="16" t="s">
        <v>346</v>
      </c>
      <c r="E100" s="7"/>
      <c r="F100" s="78" t="s">
        <v>345</v>
      </c>
      <c r="G100" s="50" t="str">
        <f>IFERROR(VLOOKUP($F100,'Project Summary'!$B$9:$M$106,3,FALSE),"")</f>
        <v>Environmental Protection Department</v>
      </c>
      <c r="H100" s="50" t="str">
        <f>IFERROR(VLOOKUP($F100,'Project Summary'!$B$9:$M$106,4,FALSE),"")</f>
        <v>環境保護署</v>
      </c>
      <c r="I100" s="50" t="str">
        <f>IFERROR(VLOOKUP($F100,'Project Summary'!$B$9:$M$106,5,FALSE),"")</f>
        <v>Waste Dispoal</v>
      </c>
      <c r="J100" s="84">
        <f>IFERROR(VLOOKUP($F100,'Project Summary'!$B$9:$M$106,7,FALSE),"")</f>
        <v>27242.5</v>
      </c>
      <c r="K100" s="82">
        <v>2940</v>
      </c>
      <c r="L100" s="6">
        <f t="shared" si="4"/>
        <v>24302.5</v>
      </c>
      <c r="M100" s="9"/>
      <c r="N100" s="13"/>
      <c r="O100" s="8"/>
      <c r="P100" s="7"/>
      <c r="Q100" s="8"/>
      <c r="R100" s="14"/>
    </row>
    <row r="101" spans="1:18" s="11" customFormat="1" ht="26.4">
      <c r="A101" s="12">
        <v>93</v>
      </c>
      <c r="B101" s="34">
        <f t="shared" si="3"/>
        <v>93</v>
      </c>
      <c r="C101" s="4">
        <v>46044</v>
      </c>
      <c r="D101" s="16" t="s">
        <v>350</v>
      </c>
      <c r="E101" s="7"/>
      <c r="F101" s="78" t="s">
        <v>348</v>
      </c>
      <c r="G101" s="50" t="str">
        <f>IFERROR(VLOOKUP($F101,'Project Summary'!$B$9:$M$106,3,FALSE),"")</f>
        <v>REALIFE INSURANCE BROKERS LTD.</v>
      </c>
      <c r="H101" s="50" t="str">
        <f>IFERROR(VLOOKUP($F101,'Project Summary'!$B$9:$M$106,4,FALSE),"")</f>
        <v>恒傑保險業務有限公司</v>
      </c>
      <c r="I101" s="50" t="str">
        <f>IFERROR(VLOOKUP($F101,'Project Summary'!$B$9:$M$106,5,FALSE),"")</f>
        <v>Insurance - EC Extension</v>
      </c>
      <c r="J101" s="84">
        <f>IFERROR(VLOOKUP($F101,'Project Summary'!$B$9:$M$106,7,FALSE),"")</f>
        <v>12366.35</v>
      </c>
      <c r="K101" s="82">
        <v>12366.35</v>
      </c>
      <c r="L101" s="6">
        <f t="shared" si="4"/>
        <v>0</v>
      </c>
      <c r="M101" s="9"/>
      <c r="N101" s="13"/>
      <c r="O101" s="8"/>
      <c r="P101" s="7"/>
      <c r="Q101" s="8"/>
      <c r="R101" s="14"/>
    </row>
    <row r="102" spans="1:18" s="11" customFormat="1" ht="26.4">
      <c r="A102" s="12">
        <v>94</v>
      </c>
      <c r="B102" s="34">
        <f t="shared" si="3"/>
        <v>94</v>
      </c>
      <c r="C102" s="4">
        <v>46076</v>
      </c>
      <c r="D102" s="5" t="s">
        <v>353</v>
      </c>
      <c r="E102" s="7"/>
      <c r="F102" s="78" t="s">
        <v>352</v>
      </c>
      <c r="G102" s="50" t="str">
        <f>IFERROR(VLOOKUP($F102,'Project Summary'!$B$9:$M$106,3,FALSE),"")</f>
        <v>FIRE EXTINGUISHER SAFETY CONSULTANT</v>
      </c>
      <c r="H102" s="50" t="str">
        <f>IFERROR(VLOOKUP($F102,'Project Summary'!$B$9:$M$106,4,FALSE),"")</f>
        <v>滅火筒安全顧問</v>
      </c>
      <c r="I102" s="50" t="str">
        <f>IFERROR(VLOOKUP($F102,'Project Summary'!$B$9:$M$106,5,FALSE),"")</f>
        <v>Safety</v>
      </c>
      <c r="J102" s="84">
        <f>IFERROR(VLOOKUP($F102,'Project Summary'!$B$9:$M$106,7,FALSE),"")</f>
        <v>272000</v>
      </c>
      <c r="K102" s="82">
        <v>16000</v>
      </c>
      <c r="L102" s="6">
        <f t="shared" si="4"/>
        <v>256000</v>
      </c>
      <c r="M102" s="9"/>
      <c r="N102" s="13"/>
      <c r="O102" s="8"/>
      <c r="P102" s="7"/>
      <c r="Q102" s="8"/>
      <c r="R102" s="14"/>
    </row>
    <row r="103" spans="1:18" s="11" customFormat="1" ht="16.2">
      <c r="A103" s="12">
        <v>95</v>
      </c>
      <c r="B103" s="34">
        <f t="shared" si="3"/>
        <v>95</v>
      </c>
      <c r="C103" s="4">
        <v>46084</v>
      </c>
      <c r="D103" s="16" t="s">
        <v>354</v>
      </c>
      <c r="E103" s="7"/>
      <c r="F103" s="78" t="s">
        <v>355</v>
      </c>
      <c r="G103" s="50" t="str">
        <f>IFERROR(VLOOKUP($F103,'Project Summary'!$B$9:$M$106,3,FALSE),"")</f>
        <v>Environmental Protection Department</v>
      </c>
      <c r="H103" s="50" t="str">
        <f>IFERROR(VLOOKUP($F103,'Project Summary'!$B$9:$M$106,4,FALSE),"")</f>
        <v>環境保護署</v>
      </c>
      <c r="I103" s="50" t="str">
        <f>IFERROR(VLOOKUP($F103,'Project Summary'!$B$9:$M$106,5,FALSE),"")</f>
        <v>Waste Dispoal</v>
      </c>
      <c r="J103" s="84">
        <f>IFERROR(VLOOKUP($F103,'Project Summary'!$B$9:$M$106,7,FALSE),"")</f>
        <v>27242.5</v>
      </c>
      <c r="K103" s="82">
        <v>3180</v>
      </c>
      <c r="L103" s="6">
        <f t="shared" si="4"/>
        <v>24062.5</v>
      </c>
      <c r="M103" s="9"/>
      <c r="N103" s="13"/>
      <c r="O103" s="8"/>
      <c r="P103" s="7"/>
      <c r="Q103" s="8"/>
      <c r="R103" s="14"/>
    </row>
    <row r="104" spans="1:18" s="11" customFormat="1" ht="16.2">
      <c r="A104" s="12">
        <v>96</v>
      </c>
      <c r="B104" s="34">
        <f t="shared" si="3"/>
        <v>96</v>
      </c>
      <c r="C104" s="4">
        <v>46090</v>
      </c>
      <c r="D104" s="16"/>
      <c r="E104" s="7"/>
      <c r="F104" s="78" t="s">
        <v>356</v>
      </c>
      <c r="G104" s="50" t="str">
        <f>IFERROR(VLOOKUP($F104,'Project Summary'!$B$9:$M$106,3,FALSE),"")</f>
        <v>WANG FAT CONSTRUCTION CO.</v>
      </c>
      <c r="H104" s="50" t="str">
        <f>IFERROR(VLOOKUP($F104,'Project Summary'!$B$9:$M$106,4,FALSE),"")</f>
        <v>宏發建築工程公司</v>
      </c>
      <c r="I104" s="50" t="str">
        <f>IFERROR(VLOOKUP($F104,'Project Summary'!$B$9:$M$106,5,FALSE),"")</f>
        <v>Builder's Works</v>
      </c>
      <c r="J104" s="84">
        <f>IFERROR(VLOOKUP($F104,'Project Summary'!$B$9:$M$106,7,FALSE),"")</f>
        <v>1900000</v>
      </c>
      <c r="K104" s="82">
        <v>270750</v>
      </c>
      <c r="L104" s="6">
        <f t="shared" si="4"/>
        <v>1629250</v>
      </c>
      <c r="M104" s="9"/>
      <c r="N104" s="13"/>
      <c r="O104" s="8"/>
      <c r="P104" s="7"/>
      <c r="Q104" s="8"/>
      <c r="R104" s="14"/>
    </row>
    <row r="105" spans="1:18" s="11" customFormat="1" ht="16.2">
      <c r="A105" s="12">
        <v>97</v>
      </c>
      <c r="B105" s="34">
        <f t="shared" si="3"/>
        <v>97</v>
      </c>
      <c r="C105" s="4">
        <v>46092</v>
      </c>
      <c r="D105" s="16" t="s">
        <v>197</v>
      </c>
      <c r="E105" s="7"/>
      <c r="F105" s="101" t="s">
        <v>142</v>
      </c>
      <c r="G105" s="50" t="str">
        <f>IFERROR(VLOOKUP($F105,'Project Summary'!$B$9:$M$106,3,FALSE),"")</f>
        <v>CHIU MING COMPANY LIMITED</v>
      </c>
      <c r="H105" s="50" t="str">
        <f>IFERROR(VLOOKUP($F105,'Project Summary'!$B$9:$M$106,4,FALSE),"")</f>
        <v>照明工程有限公司</v>
      </c>
      <c r="I105" s="50" t="s">
        <v>375</v>
      </c>
      <c r="J105" s="84">
        <f>IFERROR(VLOOKUP($F105,'Project Summary'!$B$9:$M$106,7,FALSE),"")</f>
        <v>1100000</v>
      </c>
      <c r="K105" s="82">
        <v>103288.75</v>
      </c>
      <c r="L105" s="6">
        <f t="shared" si="4"/>
        <v>996711.25</v>
      </c>
      <c r="M105" s="9"/>
      <c r="N105" s="13"/>
      <c r="O105" s="8"/>
      <c r="P105" s="7"/>
      <c r="Q105" s="8"/>
      <c r="R105" s="14"/>
    </row>
    <row r="106" spans="1:18" s="11" customFormat="1" ht="26.4">
      <c r="A106" s="12">
        <v>98</v>
      </c>
      <c r="B106" s="34">
        <f t="shared" si="3"/>
        <v>98</v>
      </c>
      <c r="C106" s="4">
        <v>46090</v>
      </c>
      <c r="D106" s="16" t="s">
        <v>363</v>
      </c>
      <c r="E106" s="7"/>
      <c r="F106" s="78" t="s">
        <v>362</v>
      </c>
      <c r="G106" s="50" t="str">
        <f>IFERROR(VLOOKUP($F106,'Project Summary'!$B$9:$M$106,3,FALSE),"")</f>
        <v>FIRE EXTINGUISHER SAFETY CONSULTANT</v>
      </c>
      <c r="H106" s="50" t="str">
        <f>IFERROR(VLOOKUP($F106,'Project Summary'!$B$9:$M$106,4,FALSE),"")</f>
        <v>滅火筒安全顧問</v>
      </c>
      <c r="I106" s="50" t="str">
        <f>IFERROR(VLOOKUP($F106,'Project Summary'!$B$9:$M$106,5,FALSE),"")</f>
        <v>Safety</v>
      </c>
      <c r="J106" s="84">
        <f>IFERROR(VLOOKUP($F106,'Project Summary'!$B$9:$M$106,7,FALSE),"")</f>
        <v>272000</v>
      </c>
      <c r="K106" s="82">
        <v>16000</v>
      </c>
      <c r="L106" s="6">
        <f t="shared" si="4"/>
        <v>256000</v>
      </c>
      <c r="M106" s="9"/>
      <c r="N106" s="13"/>
      <c r="O106" s="8"/>
      <c r="P106" s="7"/>
      <c r="Q106" s="8"/>
      <c r="R106" s="14"/>
    </row>
    <row r="107" spans="1:18" s="11" customFormat="1" ht="26.4">
      <c r="A107" s="12">
        <v>99</v>
      </c>
      <c r="B107" s="34">
        <f t="shared" si="3"/>
        <v>99</v>
      </c>
      <c r="C107" s="4">
        <v>46091</v>
      </c>
      <c r="D107" s="16" t="s">
        <v>364</v>
      </c>
      <c r="E107" s="7"/>
      <c r="F107" s="78" t="s">
        <v>362</v>
      </c>
      <c r="G107" s="50" t="str">
        <f>IFERROR(VLOOKUP($F107,'Project Summary'!$B$9:$M$106,3,FALSE),"")</f>
        <v>FIRE EXTINGUISHER SAFETY CONSULTANT</v>
      </c>
      <c r="H107" s="50" t="str">
        <f>IFERROR(VLOOKUP($F107,'Project Summary'!$B$9:$M$106,4,FALSE),"")</f>
        <v>滅火筒安全顧問</v>
      </c>
      <c r="I107" s="50" t="str">
        <f>IFERROR(VLOOKUP($F107,'Project Summary'!$B$9:$M$106,5,FALSE),"")</f>
        <v>Safety</v>
      </c>
      <c r="J107" s="84">
        <f>IFERROR(VLOOKUP($F107,'Project Summary'!$B$9:$M$106,7,FALSE),"")</f>
        <v>272000</v>
      </c>
      <c r="K107" s="82">
        <v>16000</v>
      </c>
      <c r="L107" s="6">
        <f t="shared" si="4"/>
        <v>256000</v>
      </c>
      <c r="M107" s="9"/>
      <c r="N107" s="13"/>
      <c r="O107" s="8"/>
      <c r="P107" s="7"/>
      <c r="Q107" s="8"/>
      <c r="R107" s="14"/>
    </row>
    <row r="108" spans="1:18" s="11" customFormat="1" ht="26.4">
      <c r="A108" s="12">
        <v>100</v>
      </c>
      <c r="B108" s="34">
        <f t="shared" si="3"/>
        <v>100</v>
      </c>
      <c r="C108" s="4">
        <v>46105</v>
      </c>
      <c r="D108" s="16" t="s">
        <v>370</v>
      </c>
      <c r="E108" s="7"/>
      <c r="F108" s="78" t="s">
        <v>369</v>
      </c>
      <c r="G108" s="50" t="str">
        <f>IFERROR(VLOOKUP($F108,'Project Summary'!$B$9:$M$106,3,FALSE),"")</f>
        <v>PNEUMOCONIOSIS COMPENSATION FUND BOARD</v>
      </c>
      <c r="H108" s="50" t="str">
        <f>IFERROR(VLOOKUP($F108,'Project Summary'!$B$9:$M$106,4,FALSE),"")</f>
        <v>肺塵埃沉着病補償基金委員會</v>
      </c>
      <c r="I108" s="50" t="str">
        <f>IFERROR(VLOOKUP($F108,'Project Summary'!$B$9:$M$106,5,FALSE),"")</f>
        <v>Levies</v>
      </c>
      <c r="J108" s="84">
        <f>IFERROR(VLOOKUP($F108,'Project Summary'!$B$9:$M$106,7,FALSE),"")</f>
        <v>6279</v>
      </c>
      <c r="K108" s="82">
        <v>3203</v>
      </c>
      <c r="L108" s="6">
        <f t="shared" si="4"/>
        <v>3076</v>
      </c>
      <c r="M108" s="9"/>
      <c r="N108" s="13"/>
      <c r="O108" s="8"/>
      <c r="P108" s="7"/>
      <c r="Q108" s="8"/>
      <c r="R108" s="14"/>
    </row>
    <row r="109" spans="1:18" s="11" customFormat="1" ht="16.2">
      <c r="A109" s="12">
        <v>101</v>
      </c>
      <c r="B109" s="34">
        <f t="shared" si="3"/>
        <v>101</v>
      </c>
      <c r="C109" s="4">
        <v>46094</v>
      </c>
      <c r="D109" s="16" t="s">
        <v>372</v>
      </c>
      <c r="E109" s="7"/>
      <c r="F109" s="78" t="s">
        <v>371</v>
      </c>
      <c r="G109" s="50" t="str">
        <f>IFERROR(VLOOKUP($F109,'Project Summary'!$B$9:$M$106,3,FALSE),"")</f>
        <v>YING PAK ENGINEERING COMPANY</v>
      </c>
      <c r="H109" s="50" t="str">
        <f>IFERROR(VLOOKUP($F109,'Project Summary'!$B$9:$M$106,4,FALSE),"")</f>
        <v>盈泊工程公司</v>
      </c>
      <c r="I109" s="50" t="str">
        <f>IFERROR(VLOOKUP($F109,'Project Summary'!$B$9:$M$106,5,FALSE),"")</f>
        <v>MVAC Installation</v>
      </c>
      <c r="J109" s="84">
        <f>IFERROR(VLOOKUP($F109,'Project Summary'!$B$9:$M$106,7,FALSE),"")</f>
        <v>800000</v>
      </c>
      <c r="K109" s="82">
        <v>20000</v>
      </c>
      <c r="L109" s="6">
        <f t="shared" si="4"/>
        <v>780000</v>
      </c>
      <c r="M109" s="9"/>
      <c r="N109" s="13"/>
      <c r="O109" s="8"/>
      <c r="P109" s="7"/>
      <c r="Q109" s="8"/>
      <c r="R109" s="14"/>
    </row>
    <row r="110" spans="1:18" s="11" customFormat="1" ht="26.4">
      <c r="A110" s="12">
        <v>102</v>
      </c>
      <c r="B110" s="34">
        <f t="shared" si="3"/>
        <v>102</v>
      </c>
      <c r="C110" s="4">
        <v>46120</v>
      </c>
      <c r="D110" s="16" t="s">
        <v>374</v>
      </c>
      <c r="E110" s="7"/>
      <c r="F110" s="78" t="s">
        <v>373</v>
      </c>
      <c r="G110" s="50" t="str">
        <f>IFERROR(VLOOKUP($F110,'Project Summary'!$B$9:$M$106,3,FALSE),"")</f>
        <v>CONSTRUCTION INDUSTRY COUNCIL</v>
      </c>
      <c r="H110" s="50" t="str">
        <f>IFERROR(VLOOKUP($F110,'Project Summary'!$B$9:$M$106,4,FALSE),"")</f>
        <v>建造業議會</v>
      </c>
      <c r="I110" s="50" t="str">
        <f>IFERROR(VLOOKUP($F110,'Project Summary'!$B$9:$M$106,5,FALSE),"")</f>
        <v>Levies</v>
      </c>
      <c r="J110" s="84">
        <f>IFERROR(VLOOKUP($F110,'Project Summary'!$B$9:$M$106,7,FALSE),"")</f>
        <v>14006</v>
      </c>
      <c r="K110" s="82">
        <v>7284</v>
      </c>
      <c r="L110" s="6">
        <f t="shared" si="4"/>
        <v>6722</v>
      </c>
      <c r="M110" s="9"/>
      <c r="N110" s="13"/>
      <c r="O110" s="8"/>
      <c r="P110" s="7"/>
      <c r="Q110" s="8"/>
      <c r="R110" s="14"/>
    </row>
    <row r="111" spans="1:18" s="11" customFormat="1" ht="16.2">
      <c r="A111" s="12">
        <v>103</v>
      </c>
      <c r="B111" s="34">
        <f t="shared" si="3"/>
        <v>103</v>
      </c>
      <c r="C111" s="4">
        <v>46125</v>
      </c>
      <c r="D111" s="16" t="s">
        <v>386</v>
      </c>
      <c r="E111" s="7"/>
      <c r="F111" s="101" t="s">
        <v>142</v>
      </c>
      <c r="G111" s="50" t="str">
        <f>IFERROR(VLOOKUP($F111,'Project Summary'!$B$9:$M$106,3,FALSE),"")</f>
        <v>CHIU MING COMPANY LIMITED</v>
      </c>
      <c r="H111" s="50" t="str">
        <f>IFERROR(VLOOKUP($F111,'Project Summary'!$B$9:$M$106,4,FALSE),"")</f>
        <v>照明工程有限公司</v>
      </c>
      <c r="I111" s="50" t="s">
        <v>392</v>
      </c>
      <c r="J111" s="84">
        <f>IFERROR(VLOOKUP($F111,'Project Summary'!$B$9:$M$106,7,FALSE),"")</f>
        <v>1100000</v>
      </c>
      <c r="K111" s="82">
        <v>107801.25</v>
      </c>
      <c r="L111" s="6">
        <f t="shared" si="4"/>
        <v>992198.75</v>
      </c>
      <c r="M111" s="9"/>
      <c r="N111" s="13"/>
      <c r="O111" s="8"/>
      <c r="P111" s="7"/>
      <c r="Q111" s="8"/>
      <c r="R111" s="14"/>
    </row>
    <row r="112" spans="1:18" s="11" customFormat="1" ht="16.2">
      <c r="A112" s="12">
        <v>104</v>
      </c>
      <c r="B112" s="34">
        <f t="shared" si="3"/>
        <v>104</v>
      </c>
      <c r="C112" s="4"/>
      <c r="D112" s="16"/>
      <c r="E112" s="7"/>
      <c r="F112" s="78" t="s">
        <v>388</v>
      </c>
      <c r="G112" s="50" t="str">
        <f>IFERROR(VLOOKUP($F112,'Project Summary'!$B$9:$M$106,3,FALSE),"")</f>
        <v>WANG FAT CONSTRUCTION CO.</v>
      </c>
      <c r="H112" s="50" t="str">
        <f>IFERROR(VLOOKUP($F112,'Project Summary'!$B$9:$M$106,4,FALSE),"")</f>
        <v>宏發建築工程公司</v>
      </c>
      <c r="I112" s="50" t="str">
        <f>IFERROR(VLOOKUP($F112,'Project Summary'!$B$9:$M$106,5,FALSE),"")</f>
        <v>Tony 帳款</v>
      </c>
      <c r="J112" s="84">
        <f>IFERROR(VLOOKUP($F112,'Project Summary'!$B$9:$M$106,7,FALSE),"")</f>
        <v>647200</v>
      </c>
      <c r="K112" s="82">
        <v>350700</v>
      </c>
      <c r="L112" s="6">
        <f t="shared" si="4"/>
        <v>296500</v>
      </c>
      <c r="M112" s="9"/>
      <c r="N112" s="13"/>
      <c r="O112" s="8"/>
      <c r="P112" s="7"/>
      <c r="Q112" s="8"/>
      <c r="R112" s="14"/>
    </row>
    <row r="113" spans="1:18" s="11" customFormat="1" ht="16.2">
      <c r="A113" s="12">
        <v>105</v>
      </c>
      <c r="B113" s="34">
        <f t="shared" si="3"/>
        <v>105</v>
      </c>
      <c r="C113" s="4">
        <v>46113</v>
      </c>
      <c r="D113" s="16" t="s">
        <v>390</v>
      </c>
      <c r="E113" s="7"/>
      <c r="F113" s="78" t="s">
        <v>389</v>
      </c>
      <c r="G113" s="50" t="str">
        <f>IFERROR(VLOOKUP($F113,'Project Summary'!$B$9:$M$106,3,FALSE),"")</f>
        <v>ALCO LIGHTING (H.K.) LTD</v>
      </c>
      <c r="H113" s="50">
        <f>IFERROR(VLOOKUP($F113,'Project Summary'!$B$9:$M$106,4,FALSE),"")</f>
        <v>0</v>
      </c>
      <c r="I113" s="50" t="str">
        <f>IFERROR(VLOOKUP($F113,'Project Summary'!$B$9:$M$106,5,FALSE),"")</f>
        <v>Light fitting</v>
      </c>
      <c r="J113" s="84">
        <f>IFERROR(VLOOKUP($F113,'Project Summary'!$B$9:$M$106,7,FALSE),"")</f>
        <v>32220</v>
      </c>
      <c r="K113" s="82">
        <v>32220</v>
      </c>
      <c r="L113" s="6">
        <f t="shared" si="4"/>
        <v>0</v>
      </c>
      <c r="M113" s="9"/>
      <c r="N113" s="21"/>
      <c r="O113" s="8"/>
      <c r="P113" s="7"/>
      <c r="Q113" s="8"/>
      <c r="R113" s="14"/>
    </row>
    <row r="114" spans="1:18" s="11" customFormat="1" ht="16.2">
      <c r="A114" s="12">
        <v>106</v>
      </c>
      <c r="B114" s="34">
        <f t="shared" si="3"/>
        <v>106</v>
      </c>
      <c r="C114" s="4">
        <v>46139</v>
      </c>
      <c r="D114" s="16" t="s">
        <v>197</v>
      </c>
      <c r="E114" s="7"/>
      <c r="F114" s="78" t="s">
        <v>394</v>
      </c>
      <c r="G114" s="50" t="str">
        <f>IFERROR(VLOOKUP($F114,'Project Summary'!$B$9:$M$106,3,FALSE),"")</f>
        <v>CHIU MING COMPANY LIMITED</v>
      </c>
      <c r="H114" s="50" t="str">
        <f>IFERROR(VLOOKUP($F114,'Project Summary'!$B$9:$M$106,4,FALSE),"")</f>
        <v>照明工程有限公司</v>
      </c>
      <c r="I114" s="50" t="s">
        <v>393</v>
      </c>
      <c r="J114" s="84">
        <f>IFERROR(VLOOKUP($F114,'Project Summary'!$B$9:$M$106,7,FALSE),"")</f>
        <v>112880</v>
      </c>
      <c r="K114" s="82">
        <v>11288</v>
      </c>
      <c r="L114" s="6">
        <f t="shared" si="4"/>
        <v>101592</v>
      </c>
      <c r="M114" s="9"/>
      <c r="N114" s="13"/>
      <c r="O114" s="8"/>
      <c r="P114" s="7"/>
      <c r="Q114" s="8"/>
      <c r="R114" s="14"/>
    </row>
    <row r="115" spans="1:18" s="11" customFormat="1" ht="16.2">
      <c r="A115" s="12">
        <v>107</v>
      </c>
      <c r="B115" s="34">
        <f t="shared" si="3"/>
        <v>107</v>
      </c>
      <c r="C115" s="4">
        <v>46160</v>
      </c>
      <c r="D115" s="16"/>
      <c r="E115" s="7"/>
      <c r="F115" s="78" t="s">
        <v>401</v>
      </c>
      <c r="G115" s="50" t="str">
        <f>IFERROR(VLOOKUP($F115,'Project Summary'!$B$9:$M$106,3,FALSE),"")</f>
        <v>WANG FAT CONSTRUCTION CO.</v>
      </c>
      <c r="H115" s="50" t="str">
        <f>IFERROR(VLOOKUP($F115,'Project Summary'!$B$9:$M$106,4,FALSE),"")</f>
        <v>宏發建築工程公司</v>
      </c>
      <c r="I115" s="50" t="str">
        <f>IFERROR(VLOOKUP($F115,'Project Summary'!$B$9:$M$106,5,FALSE),"")</f>
        <v>Builder's Works</v>
      </c>
      <c r="J115" s="84">
        <f>IFERROR(VLOOKUP($F115,'Project Summary'!$B$9:$M$106,7,FALSE),"")</f>
        <v>1900000</v>
      </c>
      <c r="K115" s="82">
        <v>270750</v>
      </c>
      <c r="L115" s="6">
        <f t="shared" si="4"/>
        <v>1629250</v>
      </c>
      <c r="M115" s="9"/>
      <c r="N115" s="13"/>
      <c r="O115" s="8"/>
      <c r="P115" s="9"/>
      <c r="Q115" s="8"/>
      <c r="R115" s="14"/>
    </row>
    <row r="116" spans="1:18" s="11" customFormat="1" ht="16.2">
      <c r="A116" s="12">
        <v>108</v>
      </c>
      <c r="B116" s="34">
        <f t="shared" si="3"/>
        <v>108</v>
      </c>
      <c r="C116" s="4">
        <v>46141</v>
      </c>
      <c r="D116" s="16" t="s">
        <v>414</v>
      </c>
      <c r="E116" s="7"/>
      <c r="F116" s="78" t="s">
        <v>413</v>
      </c>
      <c r="G116" s="50" t="str">
        <f>IFERROR(VLOOKUP($F116,'Project Summary'!$B$9:$M$106,3,FALSE),"")</f>
        <v>Environmental Protection Department</v>
      </c>
      <c r="H116" s="50" t="str">
        <f>IFERROR(VLOOKUP($F116,'Project Summary'!$B$9:$M$106,4,FALSE),"")</f>
        <v>環境保護署</v>
      </c>
      <c r="I116" s="50" t="str">
        <f>IFERROR(VLOOKUP($F116,'Project Summary'!$B$9:$M$106,5,FALSE),"")</f>
        <v>Waste Dispoal</v>
      </c>
      <c r="J116" s="84">
        <f>IFERROR(VLOOKUP($F116,'Project Summary'!$B$9:$M$106,7,FALSE),"")</f>
        <v>27242.5</v>
      </c>
      <c r="K116" s="82">
        <v>520</v>
      </c>
      <c r="L116" s="6">
        <f t="shared" si="4"/>
        <v>26722.5</v>
      </c>
      <c r="M116" s="9"/>
      <c r="N116" s="13"/>
      <c r="O116" s="8"/>
      <c r="P116" s="7"/>
      <c r="Q116" s="8"/>
      <c r="R116" s="14"/>
    </row>
    <row r="117" spans="1:18" s="11" customFormat="1" ht="26.4">
      <c r="A117" s="12">
        <v>109</v>
      </c>
      <c r="B117" s="34">
        <f t="shared" si="3"/>
        <v>109</v>
      </c>
      <c r="C117" s="4">
        <v>46147</v>
      </c>
      <c r="D117" s="16" t="s">
        <v>416</v>
      </c>
      <c r="E117" s="7"/>
      <c r="F117" s="78" t="s">
        <v>415</v>
      </c>
      <c r="G117" s="50" t="str">
        <f>IFERROR(VLOOKUP($F117,'Project Summary'!$B$9:$M$106,3,FALSE),"")</f>
        <v>FIRE EXTINGUISHER SAFETY CONSULTANT</v>
      </c>
      <c r="H117" s="50" t="str">
        <f>IFERROR(VLOOKUP($F117,'Project Summary'!$B$9:$M$106,4,FALSE),"")</f>
        <v>滅火筒安全顧問</v>
      </c>
      <c r="I117" s="50" t="str">
        <f>IFERROR(VLOOKUP($F117,'Project Summary'!$B$9:$M$106,5,FALSE),"")</f>
        <v>Safety</v>
      </c>
      <c r="J117" s="84">
        <f>IFERROR(VLOOKUP($F117,'Project Summary'!$B$9:$M$106,7,FALSE),"")</f>
        <v>272000</v>
      </c>
      <c r="K117" s="82">
        <v>16000</v>
      </c>
      <c r="L117" s="6">
        <f t="shared" si="4"/>
        <v>256000</v>
      </c>
      <c r="M117" s="9"/>
      <c r="N117" s="13"/>
      <c r="O117" s="8"/>
      <c r="P117" s="7"/>
      <c r="Q117" s="8"/>
      <c r="R117" s="14"/>
    </row>
    <row r="118" spans="1:18" s="11" customFormat="1" ht="26.4">
      <c r="A118" s="12">
        <v>110</v>
      </c>
      <c r="B118" s="34">
        <f t="shared" si="3"/>
        <v>110</v>
      </c>
      <c r="C118" s="4">
        <v>46120</v>
      </c>
      <c r="D118" s="16" t="s">
        <v>448</v>
      </c>
      <c r="E118" s="7"/>
      <c r="F118" s="78" t="s">
        <v>447</v>
      </c>
      <c r="G118" s="50" t="str">
        <f>IFERROR(VLOOKUP($F118,'Project Summary'!$B$9:$M$106,3,FALSE),"")</f>
        <v>Brilliant Lighting Limited</v>
      </c>
      <c r="H118" s="50" t="str">
        <f>IFERROR(VLOOKUP($F118,'Project Summary'!$B$9:$M$106,4,FALSE),"")</f>
        <v>恒亮照明有限公司</v>
      </c>
      <c r="I118" s="50" t="str">
        <f>IFERROR(VLOOKUP($F118,'Project Summary'!$B$9:$M$106,5,FALSE),"")</f>
        <v>LED Exit Sign,由Dennis Chan 代付</v>
      </c>
      <c r="J118" s="84">
        <f>IFERROR(VLOOKUP($F118,'Project Summary'!$B$9:$M$106,7,FALSE),"")</f>
        <v>277</v>
      </c>
      <c r="K118" s="82">
        <v>277</v>
      </c>
      <c r="L118" s="6">
        <f t="shared" si="4"/>
        <v>0</v>
      </c>
      <c r="M118" s="9"/>
      <c r="N118" s="13"/>
      <c r="O118" s="8"/>
      <c r="P118" s="7"/>
      <c r="Q118" s="8"/>
      <c r="R118" s="14"/>
    </row>
    <row r="119" spans="1:18" s="11" customFormat="1" ht="16.2">
      <c r="A119" s="12">
        <v>111</v>
      </c>
      <c r="B119" s="34">
        <f t="shared" si="3"/>
        <v>111</v>
      </c>
      <c r="C119" s="4"/>
      <c r="D119" s="16"/>
      <c r="E119" s="7"/>
      <c r="F119" s="78"/>
      <c r="G119" s="50" t="str">
        <f>IFERROR(VLOOKUP($F119,'Project Summary'!$B$9:$M$106,3,FALSE),"")</f>
        <v/>
      </c>
      <c r="H119" s="50" t="str">
        <f>IFERROR(VLOOKUP($F119,'Project Summary'!$B$9:$M$106,4,FALSE),"")</f>
        <v/>
      </c>
      <c r="I119" s="50" t="str">
        <f>IFERROR(VLOOKUP($F119,'Project Summary'!$B$9:$M$106,5,FALSE),"")</f>
        <v/>
      </c>
      <c r="J119" s="84" t="str">
        <f>IFERROR(VLOOKUP($F119,'Project Summary'!$B$9:$M$106,7,FALSE),"")</f>
        <v/>
      </c>
      <c r="K119" s="82"/>
      <c r="L119" s="6" t="str">
        <f t="shared" si="4"/>
        <v/>
      </c>
      <c r="M119" s="9"/>
      <c r="N119" s="13"/>
      <c r="O119" s="8"/>
      <c r="P119" s="7"/>
      <c r="Q119" s="8"/>
      <c r="R119" s="14"/>
    </row>
    <row r="120" spans="1:18" s="11" customFormat="1" ht="16.2">
      <c r="A120" s="12">
        <v>112</v>
      </c>
      <c r="B120" s="34">
        <f t="shared" si="3"/>
        <v>112</v>
      </c>
      <c r="C120" s="4"/>
      <c r="D120" s="16"/>
      <c r="E120" s="7"/>
      <c r="F120" s="78"/>
      <c r="G120" s="50" t="str">
        <f>IFERROR(VLOOKUP($F120,'Project Summary'!$B$9:$M$106,3,FALSE),"")</f>
        <v/>
      </c>
      <c r="H120" s="50" t="str">
        <f>IFERROR(VLOOKUP($F120,'Project Summary'!$B$9:$M$106,4,FALSE),"")</f>
        <v/>
      </c>
      <c r="I120" s="50" t="str">
        <f>IFERROR(VLOOKUP($F120,'Project Summary'!$B$9:$M$106,5,FALSE),"")</f>
        <v/>
      </c>
      <c r="J120" s="84" t="str">
        <f>IFERROR(VLOOKUP($F120,'Project Summary'!$B$9:$M$106,7,FALSE),"")</f>
        <v/>
      </c>
      <c r="K120" s="82"/>
      <c r="L120" s="6" t="str">
        <f t="shared" si="4"/>
        <v/>
      </c>
      <c r="M120" s="9"/>
      <c r="N120" s="13"/>
      <c r="O120" s="8"/>
      <c r="P120" s="7"/>
      <c r="Q120" s="8"/>
      <c r="R120" s="14"/>
    </row>
    <row r="121" spans="1:18" s="11" customFormat="1" ht="16.2">
      <c r="A121" s="12">
        <v>113</v>
      </c>
      <c r="B121" s="34">
        <f t="shared" si="3"/>
        <v>113</v>
      </c>
      <c r="C121" s="4"/>
      <c r="D121" s="16"/>
      <c r="E121" s="7"/>
      <c r="F121" s="78"/>
      <c r="G121" s="50" t="str">
        <f>IFERROR(VLOOKUP($F121,'Project Summary'!$B$9:$M$106,3,FALSE),"")</f>
        <v/>
      </c>
      <c r="H121" s="50" t="str">
        <f>IFERROR(VLOOKUP($F121,'Project Summary'!$B$9:$M$106,4,FALSE),"")</f>
        <v/>
      </c>
      <c r="I121" s="50" t="str">
        <f>IFERROR(VLOOKUP($F121,'Project Summary'!$B$9:$M$106,5,FALSE),"")</f>
        <v/>
      </c>
      <c r="J121" s="84" t="str">
        <f>IFERROR(VLOOKUP($F121,'Project Summary'!$B$9:$M$106,7,FALSE),"")</f>
        <v/>
      </c>
      <c r="K121" s="82"/>
      <c r="L121" s="6" t="str">
        <f t="shared" si="4"/>
        <v/>
      </c>
      <c r="M121" s="9"/>
      <c r="N121" s="13"/>
      <c r="O121" s="8"/>
      <c r="P121" s="7"/>
      <c r="Q121" s="8"/>
      <c r="R121" s="14"/>
    </row>
    <row r="122" spans="1:18" s="11" customFormat="1" ht="16.2">
      <c r="A122" s="12">
        <v>114</v>
      </c>
      <c r="B122" s="34">
        <f t="shared" si="3"/>
        <v>114</v>
      </c>
      <c r="C122" s="4"/>
      <c r="D122" s="16"/>
      <c r="E122" s="7"/>
      <c r="F122" s="78"/>
      <c r="G122" s="50" t="str">
        <f>IFERROR(VLOOKUP($F122,'Project Summary'!$B$9:$M$106,3,FALSE),"")</f>
        <v/>
      </c>
      <c r="H122" s="50" t="str">
        <f>IFERROR(VLOOKUP($F122,'Project Summary'!$B$9:$M$106,4,FALSE),"")</f>
        <v/>
      </c>
      <c r="I122" s="50" t="str">
        <f>IFERROR(VLOOKUP($F122,'Project Summary'!$B$9:$M$106,5,FALSE),"")</f>
        <v/>
      </c>
      <c r="J122" s="84" t="str">
        <f>IFERROR(VLOOKUP($F122,'Project Summary'!$B$9:$M$106,7,FALSE),"")</f>
        <v/>
      </c>
      <c r="K122" s="82"/>
      <c r="L122" s="6" t="str">
        <f t="shared" si="4"/>
        <v/>
      </c>
      <c r="M122" s="9"/>
      <c r="N122" s="13"/>
      <c r="O122" s="8"/>
      <c r="P122" s="7"/>
      <c r="Q122" s="8"/>
      <c r="R122" s="14"/>
    </row>
    <row r="123" spans="1:18" s="11" customFormat="1" ht="16.2">
      <c r="A123" s="12">
        <v>115</v>
      </c>
      <c r="B123" s="34">
        <f t="shared" si="3"/>
        <v>115</v>
      </c>
      <c r="C123" s="4"/>
      <c r="D123" s="4"/>
      <c r="E123" s="7"/>
      <c r="F123" s="78"/>
      <c r="G123" s="50" t="str">
        <f>IFERROR(VLOOKUP($F123,'Project Summary'!$B$9:$M$106,3,FALSE),"")</f>
        <v/>
      </c>
      <c r="H123" s="50" t="str">
        <f>IFERROR(VLOOKUP($F123,'Project Summary'!$B$9:$M$106,4,FALSE),"")</f>
        <v/>
      </c>
      <c r="I123" s="50" t="str">
        <f>IFERROR(VLOOKUP($F123,'Project Summary'!$B$9:$M$106,5,FALSE),"")</f>
        <v/>
      </c>
      <c r="J123" s="84" t="str">
        <f>IFERROR(VLOOKUP($F123,'Project Summary'!$B$9:$M$106,7,FALSE),"")</f>
        <v/>
      </c>
      <c r="K123" s="82"/>
      <c r="L123" s="6" t="str">
        <f t="shared" si="4"/>
        <v/>
      </c>
      <c r="M123" s="9"/>
      <c r="N123" s="13"/>
      <c r="O123" s="8"/>
      <c r="P123" s="7"/>
      <c r="Q123" s="8"/>
      <c r="R123" s="14"/>
    </row>
    <row r="124" spans="1:18" s="11" customFormat="1" ht="16.2">
      <c r="A124" s="12">
        <v>116</v>
      </c>
      <c r="B124" s="34">
        <f t="shared" si="3"/>
        <v>116</v>
      </c>
      <c r="C124" s="4"/>
      <c r="D124" s="4"/>
      <c r="E124" s="7"/>
      <c r="F124" s="78"/>
      <c r="G124" s="50" t="str">
        <f>IFERROR(VLOOKUP($F124,'Project Summary'!$B$9:$M$106,3,FALSE),"")</f>
        <v/>
      </c>
      <c r="H124" s="50" t="str">
        <f>IFERROR(VLOOKUP($F124,'Project Summary'!$B$9:$M$106,4,FALSE),"")</f>
        <v/>
      </c>
      <c r="I124" s="50" t="str">
        <f>IFERROR(VLOOKUP($F124,'Project Summary'!$B$9:$M$106,5,FALSE),"")</f>
        <v/>
      </c>
      <c r="J124" s="84" t="str">
        <f>IFERROR(VLOOKUP($F124,'Project Summary'!$B$9:$M$106,7,FALSE),"")</f>
        <v/>
      </c>
      <c r="K124" s="82"/>
      <c r="L124" s="6" t="str">
        <f t="shared" si="4"/>
        <v/>
      </c>
      <c r="M124" s="9"/>
      <c r="N124" s="13"/>
      <c r="O124" s="8"/>
      <c r="P124" s="7"/>
      <c r="Q124" s="8"/>
      <c r="R124" s="14"/>
    </row>
    <row r="125" spans="1:18" s="11" customFormat="1" ht="16.2">
      <c r="A125" s="12">
        <v>117</v>
      </c>
      <c r="B125" s="34">
        <f t="shared" si="3"/>
        <v>117</v>
      </c>
      <c r="C125" s="4"/>
      <c r="D125" s="4"/>
      <c r="E125" s="7"/>
      <c r="F125" s="78"/>
      <c r="G125" s="50" t="str">
        <f>IFERROR(VLOOKUP($F125,'Project Summary'!$B$9:$M$106,3,FALSE),"")</f>
        <v/>
      </c>
      <c r="H125" s="50" t="str">
        <f>IFERROR(VLOOKUP($F125,'Project Summary'!$B$9:$M$106,4,FALSE),"")</f>
        <v/>
      </c>
      <c r="I125" s="50" t="str">
        <f>IFERROR(VLOOKUP($F125,'Project Summary'!$B$9:$M$106,5,FALSE),"")</f>
        <v/>
      </c>
      <c r="J125" s="84" t="str">
        <f>IFERROR(VLOOKUP($F125,'Project Summary'!$B$9:$M$106,7,FALSE),"")</f>
        <v/>
      </c>
      <c r="K125" s="82"/>
      <c r="L125" s="6" t="str">
        <f t="shared" si="4"/>
        <v/>
      </c>
      <c r="M125" s="9"/>
      <c r="N125" s="13"/>
      <c r="O125" s="8"/>
      <c r="P125" s="7"/>
      <c r="Q125" s="8"/>
      <c r="R125" s="14"/>
    </row>
    <row r="126" spans="1:18" s="11" customFormat="1" ht="16.2">
      <c r="A126" s="12">
        <v>118</v>
      </c>
      <c r="B126" s="34">
        <f t="shared" si="3"/>
        <v>118</v>
      </c>
      <c r="C126" s="4"/>
      <c r="D126" s="16"/>
      <c r="E126" s="7"/>
      <c r="F126" s="78"/>
      <c r="G126" s="50" t="str">
        <f>IFERROR(VLOOKUP($F126,'Project Summary'!$B$9:$M$106,3,FALSE),"")</f>
        <v/>
      </c>
      <c r="H126" s="50" t="str">
        <f>IFERROR(VLOOKUP($F126,'Project Summary'!$B$9:$M$106,4,FALSE),"")</f>
        <v/>
      </c>
      <c r="I126" s="50" t="str">
        <f>IFERROR(VLOOKUP($F126,'Project Summary'!$B$9:$M$106,5,FALSE),"")</f>
        <v/>
      </c>
      <c r="J126" s="84" t="str">
        <f>IFERROR(VLOOKUP($F126,'Project Summary'!$B$9:$M$106,7,FALSE),"")</f>
        <v/>
      </c>
      <c r="K126" s="82"/>
      <c r="L126" s="6" t="str">
        <f t="shared" si="4"/>
        <v/>
      </c>
      <c r="M126" s="9"/>
      <c r="N126" s="21"/>
      <c r="O126" s="8"/>
      <c r="P126" s="7"/>
      <c r="Q126" s="8"/>
      <c r="R126" s="14"/>
    </row>
    <row r="127" spans="1:18" s="11" customFormat="1" ht="16.2">
      <c r="A127" s="12">
        <v>119</v>
      </c>
      <c r="B127" s="34">
        <f t="shared" si="3"/>
        <v>119</v>
      </c>
      <c r="C127" s="4"/>
      <c r="D127" s="16"/>
      <c r="E127" s="7"/>
      <c r="F127" s="78"/>
      <c r="G127" s="50" t="str">
        <f>IFERROR(VLOOKUP($F127,'Project Summary'!$B$9:$M$106,3,FALSE),"")</f>
        <v/>
      </c>
      <c r="H127" s="50" t="str">
        <f>IFERROR(VLOOKUP($F127,'Project Summary'!$B$9:$M$106,4,FALSE),"")</f>
        <v/>
      </c>
      <c r="I127" s="50" t="str">
        <f>IFERROR(VLOOKUP($F127,'Project Summary'!$B$9:$M$106,5,FALSE),"")</f>
        <v/>
      </c>
      <c r="J127" s="84" t="str">
        <f>IFERROR(VLOOKUP($F127,'Project Summary'!$B$9:$M$106,7,FALSE),"")</f>
        <v/>
      </c>
      <c r="K127" s="82"/>
      <c r="L127" s="6" t="str">
        <f t="shared" si="4"/>
        <v/>
      </c>
      <c r="M127" s="9"/>
      <c r="N127" s="21"/>
      <c r="O127" s="8"/>
      <c r="P127" s="7"/>
      <c r="Q127" s="8"/>
      <c r="R127" s="14"/>
    </row>
    <row r="128" spans="1:18" s="11" customFormat="1" ht="16.2">
      <c r="A128" s="12">
        <v>120</v>
      </c>
      <c r="B128" s="34">
        <f t="shared" si="3"/>
        <v>120</v>
      </c>
      <c r="C128" s="4"/>
      <c r="D128" s="16"/>
      <c r="E128" s="7"/>
      <c r="F128" s="78"/>
      <c r="G128" s="50" t="str">
        <f>IFERROR(VLOOKUP($F128,'Project Summary'!$B$9:$M$106,3,FALSE),"")</f>
        <v/>
      </c>
      <c r="H128" s="50" t="str">
        <f>IFERROR(VLOOKUP($F128,'Project Summary'!$B$9:$M$106,4,FALSE),"")</f>
        <v/>
      </c>
      <c r="I128" s="50" t="str">
        <f>IFERROR(VLOOKUP($F128,'Project Summary'!$B$9:$M$106,5,FALSE),"")</f>
        <v/>
      </c>
      <c r="J128" s="84" t="str">
        <f>IFERROR(VLOOKUP($F128,'Project Summary'!$B$9:$M$106,7,FALSE),"")</f>
        <v/>
      </c>
      <c r="K128" s="82"/>
      <c r="L128" s="6" t="str">
        <f t="shared" si="4"/>
        <v/>
      </c>
      <c r="M128" s="9"/>
      <c r="N128" s="21"/>
      <c r="O128" s="8"/>
      <c r="P128" s="7"/>
      <c r="Q128" s="8"/>
      <c r="R128" s="14"/>
    </row>
    <row r="129" spans="1:18" s="11" customFormat="1" ht="16.2">
      <c r="A129" s="12">
        <v>121</v>
      </c>
      <c r="B129" s="34">
        <f t="shared" si="3"/>
        <v>121</v>
      </c>
      <c r="C129" s="4"/>
      <c r="D129" s="16"/>
      <c r="E129" s="7"/>
      <c r="F129" s="78"/>
      <c r="G129" s="50" t="str">
        <f>IFERROR(VLOOKUP($F129,'Project Summary'!$B$9:$M$106,3,FALSE),"")</f>
        <v/>
      </c>
      <c r="H129" s="50" t="str">
        <f>IFERROR(VLOOKUP($F129,'Project Summary'!$B$9:$M$106,4,FALSE),"")</f>
        <v/>
      </c>
      <c r="I129" s="50" t="str">
        <f>IFERROR(VLOOKUP($F129,'Project Summary'!$B$9:$M$106,5,FALSE),"")</f>
        <v/>
      </c>
      <c r="J129" s="84" t="str">
        <f>IFERROR(VLOOKUP($F129,'Project Summary'!$B$9:$M$106,7,FALSE),"")</f>
        <v/>
      </c>
      <c r="K129" s="82"/>
      <c r="L129" s="6" t="str">
        <f t="shared" si="4"/>
        <v/>
      </c>
      <c r="M129" s="9"/>
      <c r="N129" s="13"/>
      <c r="O129" s="8"/>
      <c r="P129" s="7"/>
      <c r="Q129" s="8"/>
      <c r="R129" s="14"/>
    </row>
    <row r="130" spans="1:18" s="11" customFormat="1" ht="16.2">
      <c r="A130" s="12">
        <v>122</v>
      </c>
      <c r="B130" s="34">
        <f t="shared" si="3"/>
        <v>122</v>
      </c>
      <c r="C130" s="4"/>
      <c r="D130" s="16"/>
      <c r="E130" s="7"/>
      <c r="F130" s="78"/>
      <c r="G130" s="50" t="str">
        <f>IFERROR(VLOOKUP($F130,'Project Summary'!$B$9:$M$106,3,FALSE),"")</f>
        <v/>
      </c>
      <c r="H130" s="50" t="str">
        <f>IFERROR(VLOOKUP($F130,'Project Summary'!$B$9:$M$106,4,FALSE),"")</f>
        <v/>
      </c>
      <c r="I130" s="50" t="str">
        <f>IFERROR(VLOOKUP($F130,'Project Summary'!$B$9:$M$106,5,FALSE),"")</f>
        <v/>
      </c>
      <c r="J130" s="84" t="str">
        <f>IFERROR(VLOOKUP($F130,'Project Summary'!$B$9:$M$106,7,FALSE),"")</f>
        <v/>
      </c>
      <c r="K130" s="82"/>
      <c r="L130" s="6" t="str">
        <f t="shared" si="4"/>
        <v/>
      </c>
      <c r="M130" s="9"/>
      <c r="N130" s="13"/>
      <c r="O130" s="8"/>
      <c r="P130" s="7"/>
      <c r="Q130" s="8"/>
      <c r="R130" s="14"/>
    </row>
    <row r="131" spans="1:18" s="11" customFormat="1" ht="16.2">
      <c r="A131" s="12">
        <v>123</v>
      </c>
      <c r="B131" s="34">
        <f t="shared" si="3"/>
        <v>123</v>
      </c>
      <c r="C131" s="4"/>
      <c r="D131" s="16"/>
      <c r="E131" s="7"/>
      <c r="F131" s="78"/>
      <c r="G131" s="50" t="str">
        <f>IFERROR(VLOOKUP($F131,'Project Summary'!$B$9:$M$106,3,FALSE),"")</f>
        <v/>
      </c>
      <c r="H131" s="50" t="str">
        <f>IFERROR(VLOOKUP($F131,'Project Summary'!$B$9:$M$106,4,FALSE),"")</f>
        <v/>
      </c>
      <c r="I131" s="50" t="str">
        <f>IFERROR(VLOOKUP($F131,'Project Summary'!$B$9:$M$106,5,FALSE),"")</f>
        <v/>
      </c>
      <c r="J131" s="84" t="str">
        <f>IFERROR(VLOOKUP($F131,'Project Summary'!$B$9:$M$106,7,FALSE),"")</f>
        <v/>
      </c>
      <c r="K131" s="82"/>
      <c r="L131" s="6" t="str">
        <f t="shared" si="4"/>
        <v/>
      </c>
      <c r="M131" s="9"/>
      <c r="N131" s="13"/>
      <c r="O131" s="8"/>
      <c r="P131" s="7"/>
      <c r="Q131" s="8"/>
      <c r="R131" s="14"/>
    </row>
    <row r="132" spans="1:18" s="11" customFormat="1" ht="16.2">
      <c r="A132" s="12">
        <v>124</v>
      </c>
      <c r="B132" s="34">
        <f t="shared" si="3"/>
        <v>124</v>
      </c>
      <c r="C132" s="4"/>
      <c r="D132" s="16"/>
      <c r="E132" s="7"/>
      <c r="F132" s="78"/>
      <c r="G132" s="50" t="str">
        <f>IFERROR(VLOOKUP($F132,'Project Summary'!$B$9:$M$106,3,FALSE),"")</f>
        <v/>
      </c>
      <c r="H132" s="50" t="str">
        <f>IFERROR(VLOOKUP($F132,'Project Summary'!$B$9:$M$106,4,FALSE),"")</f>
        <v/>
      </c>
      <c r="I132" s="50" t="str">
        <f>IFERROR(VLOOKUP($F132,'Project Summary'!$B$9:$M$106,5,FALSE),"")</f>
        <v/>
      </c>
      <c r="J132" s="84" t="str">
        <f>IFERROR(VLOOKUP($F132,'Project Summary'!$B$9:$M$106,7,FALSE),"")</f>
        <v/>
      </c>
      <c r="K132" s="82"/>
      <c r="L132" s="6" t="str">
        <f t="shared" si="4"/>
        <v/>
      </c>
      <c r="M132" s="9"/>
      <c r="N132" s="13"/>
      <c r="O132" s="8"/>
      <c r="P132" s="7"/>
      <c r="Q132" s="8"/>
      <c r="R132" s="14"/>
    </row>
    <row r="133" spans="1:18" s="11" customFormat="1" ht="16.2">
      <c r="A133" s="12">
        <v>125</v>
      </c>
      <c r="B133" s="34">
        <f t="shared" si="3"/>
        <v>125</v>
      </c>
      <c r="C133" s="4"/>
      <c r="D133" s="16"/>
      <c r="E133" s="7"/>
      <c r="F133" s="78"/>
      <c r="G133" s="50" t="str">
        <f>IFERROR(VLOOKUP($F133,'Project Summary'!$B$9:$M$106,3,FALSE),"")</f>
        <v/>
      </c>
      <c r="H133" s="50" t="str">
        <f>IFERROR(VLOOKUP($F133,'Project Summary'!$B$9:$M$106,4,FALSE),"")</f>
        <v/>
      </c>
      <c r="I133" s="50" t="str">
        <f>IFERROR(VLOOKUP($F133,'Project Summary'!$B$9:$M$106,5,FALSE),"")</f>
        <v/>
      </c>
      <c r="J133" s="84" t="str">
        <f>IFERROR(VLOOKUP($F133,'Project Summary'!$B$9:$M$106,7,FALSE),"")</f>
        <v/>
      </c>
      <c r="K133" s="82"/>
      <c r="L133" s="6" t="str">
        <f t="shared" si="4"/>
        <v/>
      </c>
      <c r="M133" s="9"/>
      <c r="N133" s="13"/>
      <c r="O133" s="8"/>
      <c r="P133" s="7"/>
      <c r="Q133" s="8"/>
      <c r="R133" s="14"/>
    </row>
    <row r="134" spans="1:18" s="11" customFormat="1" ht="16.2">
      <c r="A134" s="12">
        <v>126</v>
      </c>
      <c r="B134" s="34">
        <f t="shared" si="3"/>
        <v>126</v>
      </c>
      <c r="C134" s="4"/>
      <c r="D134" s="16"/>
      <c r="E134" s="7"/>
      <c r="F134" s="78"/>
      <c r="G134" s="50" t="str">
        <f>IFERROR(VLOOKUP($F134,'Project Summary'!$B$9:$M$106,3,FALSE),"")</f>
        <v/>
      </c>
      <c r="H134" s="50" t="str">
        <f>IFERROR(VLOOKUP($F134,'Project Summary'!$B$9:$M$106,4,FALSE),"")</f>
        <v/>
      </c>
      <c r="I134" s="50" t="str">
        <f>IFERROR(VLOOKUP($F134,'Project Summary'!$B$9:$M$106,5,FALSE),"")</f>
        <v/>
      </c>
      <c r="J134" s="84" t="str">
        <f>IFERROR(VLOOKUP($F134,'Project Summary'!$B$9:$M$106,7,FALSE),"")</f>
        <v/>
      </c>
      <c r="K134" s="82"/>
      <c r="L134" s="6" t="str">
        <f t="shared" si="4"/>
        <v/>
      </c>
      <c r="M134" s="9"/>
      <c r="N134" s="13"/>
      <c r="O134" s="8"/>
      <c r="P134" s="7"/>
      <c r="Q134" s="8"/>
      <c r="R134" s="14"/>
    </row>
    <row r="135" spans="1:18" s="11" customFormat="1" ht="16.2">
      <c r="A135" s="12">
        <v>127</v>
      </c>
      <c r="B135" s="34">
        <f t="shared" si="3"/>
        <v>127</v>
      </c>
      <c r="C135" s="4"/>
      <c r="D135" s="16"/>
      <c r="E135" s="7"/>
      <c r="F135" s="78"/>
      <c r="G135" s="50" t="str">
        <f>IFERROR(VLOOKUP($F135,'Project Summary'!$B$9:$M$106,3,FALSE),"")</f>
        <v/>
      </c>
      <c r="H135" s="50" t="str">
        <f>IFERROR(VLOOKUP($F135,'Project Summary'!$B$9:$M$106,4,FALSE),"")</f>
        <v/>
      </c>
      <c r="I135" s="50" t="str">
        <f>IFERROR(VLOOKUP($F135,'Project Summary'!$B$9:$M$106,5,FALSE),"")</f>
        <v/>
      </c>
      <c r="J135" s="84" t="str">
        <f>IFERROR(VLOOKUP($F135,'Project Summary'!$B$9:$M$106,7,FALSE),"")</f>
        <v/>
      </c>
      <c r="K135" s="82"/>
      <c r="L135" s="6" t="str">
        <f t="shared" si="4"/>
        <v/>
      </c>
      <c r="M135" s="9"/>
      <c r="N135" s="13"/>
      <c r="O135" s="8"/>
      <c r="P135" s="7"/>
      <c r="Q135" s="8"/>
      <c r="R135" s="14"/>
    </row>
    <row r="136" spans="1:18" s="11" customFormat="1" ht="16.2">
      <c r="A136" s="12">
        <v>128</v>
      </c>
      <c r="B136" s="34">
        <f t="shared" si="3"/>
        <v>128</v>
      </c>
      <c r="C136" s="4"/>
      <c r="D136" s="16"/>
      <c r="E136" s="7"/>
      <c r="F136" s="78"/>
      <c r="G136" s="50" t="str">
        <f>IFERROR(VLOOKUP($F136,'Project Summary'!$B$9:$M$106,3,FALSE),"")</f>
        <v/>
      </c>
      <c r="H136" s="50" t="str">
        <f>IFERROR(VLOOKUP($F136,'Project Summary'!$B$9:$M$106,4,FALSE),"")</f>
        <v/>
      </c>
      <c r="I136" s="50" t="str">
        <f>IFERROR(VLOOKUP($F136,'Project Summary'!$B$9:$M$106,5,FALSE),"")</f>
        <v/>
      </c>
      <c r="J136" s="84" t="str">
        <f>IFERROR(VLOOKUP($F136,'Project Summary'!$B$9:$M$106,7,FALSE),"")</f>
        <v/>
      </c>
      <c r="K136" s="82"/>
      <c r="L136" s="6" t="str">
        <f t="shared" si="4"/>
        <v/>
      </c>
      <c r="M136" s="9"/>
      <c r="N136" s="13"/>
      <c r="O136" s="8"/>
      <c r="P136" s="7"/>
      <c r="Q136" s="8"/>
      <c r="R136" s="14"/>
    </row>
    <row r="137" spans="1:18" s="11" customFormat="1" ht="16.2">
      <c r="A137" s="12">
        <v>129</v>
      </c>
      <c r="B137" s="34">
        <f t="shared" ref="B137:B151" si="7">HYPERLINK("Z:\MePork\000 綜合\020 報價合約\Quotation\2024\MS_Q1241_24_kp (C9644-24C Extension of Fitness Room at KBD Recreation &amp; Sports Centre)\P1 - Payment\Payment records\"&amp;A137&amp;".PDF",A137)</f>
        <v>129</v>
      </c>
      <c r="C137" s="4"/>
      <c r="D137" s="16"/>
      <c r="E137" s="7"/>
      <c r="F137" s="78"/>
      <c r="G137" s="50" t="str">
        <f>IFERROR(VLOOKUP($F137,'Project Summary'!$B$9:$M$106,3,FALSE),"")</f>
        <v/>
      </c>
      <c r="H137" s="50" t="str">
        <f>IFERROR(VLOOKUP($F137,'Project Summary'!$B$9:$M$106,4,FALSE),"")</f>
        <v/>
      </c>
      <c r="I137" s="50" t="str">
        <f>IFERROR(VLOOKUP($F137,'Project Summary'!$B$9:$M$106,5,FALSE),"")</f>
        <v/>
      </c>
      <c r="J137" s="84" t="str">
        <f>IFERROR(VLOOKUP($F137,'Project Summary'!$B$9:$M$106,7,FALSE),"")</f>
        <v/>
      </c>
      <c r="K137" s="82"/>
      <c r="L137" s="6" t="str">
        <f t="shared" si="4"/>
        <v/>
      </c>
      <c r="M137" s="4"/>
      <c r="N137" s="16"/>
      <c r="O137" s="8"/>
      <c r="P137" s="7"/>
      <c r="Q137" s="8"/>
      <c r="R137" s="14"/>
    </row>
    <row r="138" spans="1:18" s="11" customFormat="1" ht="16.2">
      <c r="A138" s="12">
        <v>130</v>
      </c>
      <c r="B138" s="34">
        <f t="shared" si="7"/>
        <v>130</v>
      </c>
      <c r="C138" s="4"/>
      <c r="D138" s="5"/>
      <c r="E138" s="20"/>
      <c r="F138" s="79"/>
      <c r="G138" s="50" t="str">
        <f>IFERROR(VLOOKUP($F138,'Project Summary'!$B$9:$M$106,3,FALSE),"")</f>
        <v/>
      </c>
      <c r="H138" s="50" t="str">
        <f>IFERROR(VLOOKUP($F138,'Project Summary'!$B$9:$M$106,4,FALSE),"")</f>
        <v/>
      </c>
      <c r="I138" s="50" t="str">
        <f>IFERROR(VLOOKUP($F138,'Project Summary'!$B$9:$M$106,5,FALSE),"")</f>
        <v/>
      </c>
      <c r="J138" s="84" t="str">
        <f>IFERROR(VLOOKUP($F138,'Project Summary'!$B$9:$M$106,7,FALSE),"")</f>
        <v/>
      </c>
      <c r="K138" s="82"/>
      <c r="L138" s="6" t="str">
        <f t="shared" ref="L138:L151" si="8">IFERROR(J138-K138,"")</f>
        <v/>
      </c>
      <c r="M138" s="4"/>
      <c r="N138" s="16"/>
      <c r="O138" s="8"/>
      <c r="P138" s="7"/>
      <c r="Q138" s="8"/>
      <c r="R138" s="14"/>
    </row>
    <row r="139" spans="1:18" s="11" customFormat="1" ht="16.2">
      <c r="A139" s="12">
        <v>131</v>
      </c>
      <c r="B139" s="34">
        <f t="shared" si="7"/>
        <v>131</v>
      </c>
      <c r="C139" s="4"/>
      <c r="D139" s="16"/>
      <c r="E139" s="7"/>
      <c r="F139" s="78"/>
      <c r="G139" s="50" t="str">
        <f>IFERROR(VLOOKUP($F139,'Project Summary'!$B$9:$M$106,3,FALSE),"")</f>
        <v/>
      </c>
      <c r="H139" s="50" t="str">
        <f>IFERROR(VLOOKUP($F139,'Project Summary'!$B$9:$M$106,4,FALSE),"")</f>
        <v/>
      </c>
      <c r="I139" s="50" t="str">
        <f>IFERROR(VLOOKUP($F139,'Project Summary'!$B$9:$M$106,5,FALSE),"")</f>
        <v/>
      </c>
      <c r="J139" s="84" t="str">
        <f>IFERROR(VLOOKUP($F139,'Project Summary'!$B$9:$M$106,7,FALSE),"")</f>
        <v/>
      </c>
      <c r="K139" s="82"/>
      <c r="L139" s="6" t="str">
        <f t="shared" si="8"/>
        <v/>
      </c>
      <c r="M139" s="9"/>
      <c r="N139" s="13"/>
      <c r="O139" s="8"/>
      <c r="P139" s="7"/>
      <c r="Q139" s="8"/>
      <c r="R139" s="14"/>
    </row>
    <row r="140" spans="1:18" s="11" customFormat="1" ht="16.2">
      <c r="A140" s="12">
        <v>132</v>
      </c>
      <c r="B140" s="34">
        <f t="shared" si="7"/>
        <v>132</v>
      </c>
      <c r="C140" s="4"/>
      <c r="D140" s="16"/>
      <c r="E140" s="7"/>
      <c r="F140" s="78"/>
      <c r="G140" s="50" t="str">
        <f>IFERROR(VLOOKUP($F140,'Project Summary'!$B$9:$M$106,3,FALSE),"")</f>
        <v/>
      </c>
      <c r="H140" s="50" t="str">
        <f>IFERROR(VLOOKUP($F140,'Project Summary'!$B$9:$M$106,4,FALSE),"")</f>
        <v/>
      </c>
      <c r="I140" s="50" t="str">
        <f>IFERROR(VLOOKUP($F140,'Project Summary'!$B$9:$M$106,5,FALSE),"")</f>
        <v/>
      </c>
      <c r="J140" s="84" t="str">
        <f>IFERROR(VLOOKUP($F140,'Project Summary'!$B$9:$M$106,7,FALSE),"")</f>
        <v/>
      </c>
      <c r="K140" s="82"/>
      <c r="L140" s="6" t="str">
        <f t="shared" si="8"/>
        <v/>
      </c>
      <c r="M140" s="9"/>
      <c r="N140" s="13"/>
      <c r="O140" s="8"/>
      <c r="P140" s="7"/>
      <c r="Q140" s="8"/>
      <c r="R140" s="14"/>
    </row>
    <row r="141" spans="1:18" s="11" customFormat="1" ht="16.2">
      <c r="A141" s="12">
        <v>133</v>
      </c>
      <c r="B141" s="34">
        <f t="shared" si="7"/>
        <v>133</v>
      </c>
      <c r="C141" s="4"/>
      <c r="D141" s="16"/>
      <c r="E141" s="7"/>
      <c r="F141" s="78"/>
      <c r="G141" s="50" t="str">
        <f>IFERROR(VLOOKUP($F141,'Project Summary'!$B$9:$M$106,3,FALSE),"")</f>
        <v/>
      </c>
      <c r="H141" s="50" t="str">
        <f>IFERROR(VLOOKUP($F141,'Project Summary'!$B$9:$M$106,4,FALSE),"")</f>
        <v/>
      </c>
      <c r="I141" s="50" t="str">
        <f>IFERROR(VLOOKUP($F141,'Project Summary'!$B$9:$M$106,5,FALSE),"")</f>
        <v/>
      </c>
      <c r="J141" s="84" t="str">
        <f>IFERROR(VLOOKUP($F141,'Project Summary'!$B$9:$M$106,7,FALSE),"")</f>
        <v/>
      </c>
      <c r="K141" s="82"/>
      <c r="L141" s="6" t="str">
        <f t="shared" si="8"/>
        <v/>
      </c>
      <c r="M141" s="9"/>
      <c r="N141" s="13"/>
      <c r="O141" s="8"/>
      <c r="P141" s="7"/>
      <c r="Q141" s="8"/>
      <c r="R141" s="14"/>
    </row>
    <row r="142" spans="1:18" s="11" customFormat="1" ht="16.2">
      <c r="A142" s="12">
        <v>134</v>
      </c>
      <c r="B142" s="34">
        <f t="shared" si="7"/>
        <v>134</v>
      </c>
      <c r="C142" s="4"/>
      <c r="D142" s="16"/>
      <c r="E142" s="7"/>
      <c r="F142" s="78"/>
      <c r="G142" s="50" t="str">
        <f>IFERROR(VLOOKUP($F142,'Project Summary'!$B$9:$M$106,3,FALSE),"")</f>
        <v/>
      </c>
      <c r="H142" s="50" t="str">
        <f>IFERROR(VLOOKUP($F142,'Project Summary'!$B$9:$M$106,4,FALSE),"")</f>
        <v/>
      </c>
      <c r="I142" s="50" t="str">
        <f>IFERROR(VLOOKUP($F142,'Project Summary'!$B$9:$M$106,5,FALSE),"")</f>
        <v/>
      </c>
      <c r="J142" s="84" t="str">
        <f>IFERROR(VLOOKUP($F142,'Project Summary'!$B$9:$M$106,7,FALSE),"")</f>
        <v/>
      </c>
      <c r="K142" s="82"/>
      <c r="L142" s="6" t="str">
        <f t="shared" si="8"/>
        <v/>
      </c>
      <c r="M142" s="9"/>
      <c r="N142" s="13"/>
      <c r="O142" s="8"/>
      <c r="P142" s="7"/>
      <c r="Q142" s="8"/>
      <c r="R142" s="14"/>
    </row>
    <row r="143" spans="1:18" s="11" customFormat="1" ht="16.2">
      <c r="A143" s="12">
        <v>135</v>
      </c>
      <c r="B143" s="34">
        <f t="shared" si="7"/>
        <v>135</v>
      </c>
      <c r="C143" s="4"/>
      <c r="D143" s="16"/>
      <c r="E143" s="7"/>
      <c r="F143" s="78"/>
      <c r="G143" s="50" t="str">
        <f>IFERROR(VLOOKUP($F143,'Project Summary'!$B$9:$M$106,3,FALSE),"")</f>
        <v/>
      </c>
      <c r="H143" s="50" t="str">
        <f>IFERROR(VLOOKUP($F143,'Project Summary'!$B$9:$M$106,4,FALSE),"")</f>
        <v/>
      </c>
      <c r="I143" s="50" t="str">
        <f>IFERROR(VLOOKUP($F143,'Project Summary'!$B$9:$M$106,5,FALSE),"")</f>
        <v/>
      </c>
      <c r="J143" s="84" t="str">
        <f>IFERROR(VLOOKUP($F143,'Project Summary'!$B$9:$M$106,7,FALSE),"")</f>
        <v/>
      </c>
      <c r="K143" s="82"/>
      <c r="L143" s="6" t="str">
        <f t="shared" si="8"/>
        <v/>
      </c>
      <c r="M143" s="9"/>
      <c r="N143" s="13"/>
      <c r="O143" s="8"/>
      <c r="P143" s="7"/>
      <c r="Q143" s="8"/>
      <c r="R143" s="14"/>
    </row>
    <row r="144" spans="1:18" s="11" customFormat="1" ht="16.2">
      <c r="A144" s="12">
        <v>136</v>
      </c>
      <c r="B144" s="34">
        <f t="shared" si="7"/>
        <v>136</v>
      </c>
      <c r="C144" s="4"/>
      <c r="D144" s="16"/>
      <c r="E144" s="7"/>
      <c r="F144" s="78"/>
      <c r="G144" s="50" t="str">
        <f>IFERROR(VLOOKUP($F144,'Project Summary'!$B$9:$M$106,3,FALSE),"")</f>
        <v/>
      </c>
      <c r="H144" s="50" t="str">
        <f>IFERROR(VLOOKUP($F144,'Project Summary'!$B$9:$M$106,4,FALSE),"")</f>
        <v/>
      </c>
      <c r="I144" s="50" t="str">
        <f>IFERROR(VLOOKUP($F144,'Project Summary'!$B$9:$M$106,5,FALSE),"")</f>
        <v/>
      </c>
      <c r="J144" s="84" t="str">
        <f>IFERROR(VLOOKUP($F144,'Project Summary'!$B$9:$M$106,7,FALSE),"")</f>
        <v/>
      </c>
      <c r="K144" s="82"/>
      <c r="L144" s="6" t="str">
        <f t="shared" si="8"/>
        <v/>
      </c>
      <c r="M144" s="9"/>
      <c r="N144" s="13"/>
      <c r="O144" s="8"/>
      <c r="P144" s="7"/>
      <c r="Q144" s="8"/>
      <c r="R144" s="14"/>
    </row>
    <row r="145" spans="1:18" s="11" customFormat="1" ht="16.2">
      <c r="A145" s="12">
        <v>137</v>
      </c>
      <c r="B145" s="34">
        <f t="shared" si="7"/>
        <v>137</v>
      </c>
      <c r="C145" s="4"/>
      <c r="D145" s="16"/>
      <c r="E145" s="7"/>
      <c r="F145" s="78"/>
      <c r="G145" s="50" t="str">
        <f>IFERROR(VLOOKUP($F145,'Project Summary'!$B$9:$M$106,3,FALSE),"")</f>
        <v/>
      </c>
      <c r="H145" s="50" t="str">
        <f>IFERROR(VLOOKUP($F145,'Project Summary'!$B$9:$M$106,4,FALSE),"")</f>
        <v/>
      </c>
      <c r="I145" s="50" t="str">
        <f>IFERROR(VLOOKUP($F145,'Project Summary'!$B$9:$M$106,5,FALSE),"")</f>
        <v/>
      </c>
      <c r="J145" s="84" t="str">
        <f>IFERROR(VLOOKUP($F145,'Project Summary'!$B$9:$M$106,7,FALSE),"")</f>
        <v/>
      </c>
      <c r="K145" s="82"/>
      <c r="L145" s="6" t="str">
        <f t="shared" si="8"/>
        <v/>
      </c>
      <c r="M145" s="9"/>
      <c r="N145" s="13"/>
      <c r="O145" s="8"/>
      <c r="P145" s="7"/>
      <c r="Q145" s="8"/>
      <c r="R145" s="14"/>
    </row>
    <row r="146" spans="1:18" s="11" customFormat="1" ht="16.2">
      <c r="A146" s="12">
        <v>138</v>
      </c>
      <c r="B146" s="34">
        <f t="shared" si="7"/>
        <v>138</v>
      </c>
      <c r="C146" s="4"/>
      <c r="D146" s="16"/>
      <c r="E146" s="7"/>
      <c r="F146" s="78"/>
      <c r="G146" s="50" t="str">
        <f>IFERROR(VLOOKUP($F146,'Project Summary'!$B$9:$M$106,3,FALSE),"")</f>
        <v/>
      </c>
      <c r="H146" s="50" t="str">
        <f>IFERROR(VLOOKUP($F146,'Project Summary'!$B$9:$M$106,4,FALSE),"")</f>
        <v/>
      </c>
      <c r="I146" s="50" t="str">
        <f>IFERROR(VLOOKUP($F146,'Project Summary'!$B$9:$M$106,5,FALSE),"")</f>
        <v/>
      </c>
      <c r="J146" s="84" t="str">
        <f>IFERROR(VLOOKUP($F146,'Project Summary'!$B$9:$M$106,7,FALSE),"")</f>
        <v/>
      </c>
      <c r="K146" s="82"/>
      <c r="L146" s="6" t="str">
        <f t="shared" si="8"/>
        <v/>
      </c>
      <c r="M146" s="9"/>
      <c r="N146" s="13"/>
      <c r="O146" s="8"/>
      <c r="P146" s="7"/>
      <c r="Q146" s="8"/>
      <c r="R146" s="14"/>
    </row>
    <row r="147" spans="1:18" s="11" customFormat="1" ht="16.2">
      <c r="A147" s="12">
        <v>139</v>
      </c>
      <c r="B147" s="34">
        <f t="shared" si="7"/>
        <v>139</v>
      </c>
      <c r="C147" s="4"/>
      <c r="D147" s="16"/>
      <c r="E147" s="7"/>
      <c r="F147" s="78"/>
      <c r="G147" s="50" t="str">
        <f>IFERROR(VLOOKUP($F147,'Project Summary'!$B$9:$M$106,3,FALSE),"")</f>
        <v/>
      </c>
      <c r="H147" s="50" t="str">
        <f>IFERROR(VLOOKUP($F147,'Project Summary'!$B$9:$M$106,4,FALSE),"")</f>
        <v/>
      </c>
      <c r="I147" s="50" t="str">
        <f>IFERROR(VLOOKUP($F147,'Project Summary'!$B$9:$M$106,5,FALSE),"")</f>
        <v/>
      </c>
      <c r="J147" s="84" t="str">
        <f>IFERROR(VLOOKUP($F147,'Project Summary'!$B$9:$M$106,7,FALSE),"")</f>
        <v/>
      </c>
      <c r="K147" s="82"/>
      <c r="L147" s="6" t="str">
        <f t="shared" si="8"/>
        <v/>
      </c>
      <c r="M147" s="9"/>
      <c r="N147" s="13"/>
      <c r="O147" s="8"/>
      <c r="P147" s="7"/>
      <c r="Q147" s="8"/>
      <c r="R147" s="14"/>
    </row>
    <row r="148" spans="1:18" s="11" customFormat="1" ht="16.2">
      <c r="A148" s="12">
        <v>140</v>
      </c>
      <c r="B148" s="34">
        <f t="shared" si="7"/>
        <v>140</v>
      </c>
      <c r="C148" s="4"/>
      <c r="D148" s="16"/>
      <c r="E148" s="7"/>
      <c r="F148" s="78"/>
      <c r="G148" s="50" t="str">
        <f>IFERROR(VLOOKUP($F148,'Project Summary'!$B$9:$M$106,3,FALSE),"")</f>
        <v/>
      </c>
      <c r="H148" s="50" t="str">
        <f>IFERROR(VLOOKUP($F148,'Project Summary'!$B$9:$M$106,4,FALSE),"")</f>
        <v/>
      </c>
      <c r="I148" s="50" t="str">
        <f>IFERROR(VLOOKUP($F148,'Project Summary'!$B$9:$M$106,5,FALSE),"")</f>
        <v/>
      </c>
      <c r="J148" s="84" t="str">
        <f>IFERROR(VLOOKUP($F148,'Project Summary'!$B$9:$M$106,7,FALSE),"")</f>
        <v/>
      </c>
      <c r="K148" s="82"/>
      <c r="L148" s="6" t="str">
        <f t="shared" si="8"/>
        <v/>
      </c>
      <c r="M148" s="9"/>
      <c r="N148" s="13"/>
      <c r="O148" s="8"/>
      <c r="P148" s="7"/>
      <c r="Q148" s="8"/>
      <c r="R148" s="14"/>
    </row>
    <row r="149" spans="1:18" s="11" customFormat="1" ht="16.2">
      <c r="A149" s="12">
        <v>141</v>
      </c>
      <c r="B149" s="34">
        <f t="shared" si="7"/>
        <v>141</v>
      </c>
      <c r="C149" s="4"/>
      <c r="D149" s="16"/>
      <c r="E149" s="7"/>
      <c r="F149" s="78"/>
      <c r="G149" s="50" t="str">
        <f>IFERROR(VLOOKUP($F149,'Project Summary'!$B$9:$M$106,3,FALSE),"")</f>
        <v/>
      </c>
      <c r="H149" s="50" t="str">
        <f>IFERROR(VLOOKUP($F149,'Project Summary'!$B$9:$M$106,4,FALSE),"")</f>
        <v/>
      </c>
      <c r="I149" s="50" t="str">
        <f>IFERROR(VLOOKUP($F149,'Project Summary'!$B$9:$M$106,5,FALSE),"")</f>
        <v/>
      </c>
      <c r="J149" s="84" t="str">
        <f>IFERROR(VLOOKUP($F149,'Project Summary'!$B$9:$M$106,7,FALSE),"")</f>
        <v/>
      </c>
      <c r="K149" s="82"/>
      <c r="L149" s="6" t="str">
        <f t="shared" si="8"/>
        <v/>
      </c>
      <c r="M149" s="9"/>
      <c r="N149" s="13"/>
      <c r="O149" s="8"/>
      <c r="P149" s="7"/>
      <c r="Q149" s="8"/>
      <c r="R149" s="14"/>
    </row>
    <row r="150" spans="1:18" s="11" customFormat="1" ht="16.2">
      <c r="A150" s="12">
        <v>142</v>
      </c>
      <c r="B150" s="34">
        <f t="shared" si="7"/>
        <v>142</v>
      </c>
      <c r="C150" s="4"/>
      <c r="D150" s="16"/>
      <c r="E150" s="7"/>
      <c r="F150" s="78"/>
      <c r="G150" s="50" t="str">
        <f>IFERROR(VLOOKUP($F150,'Project Summary'!$B$9:$M$106,3,FALSE),"")</f>
        <v/>
      </c>
      <c r="H150" s="50" t="str">
        <f>IFERROR(VLOOKUP($F150,'Project Summary'!$B$9:$M$106,4,FALSE),"")</f>
        <v/>
      </c>
      <c r="I150" s="50" t="str">
        <f>IFERROR(VLOOKUP($F150,'Project Summary'!$B$9:$M$106,5,FALSE),"")</f>
        <v/>
      </c>
      <c r="J150" s="84" t="str">
        <f>IFERROR(VLOOKUP($F150,'Project Summary'!$B$9:$M$106,7,FALSE),"")</f>
        <v/>
      </c>
      <c r="K150" s="82"/>
      <c r="L150" s="6" t="str">
        <f t="shared" si="8"/>
        <v/>
      </c>
      <c r="M150" s="9"/>
      <c r="N150" s="13"/>
      <c r="O150" s="8"/>
      <c r="P150" s="7"/>
      <c r="Q150" s="8"/>
      <c r="R150" s="14"/>
    </row>
    <row r="151" spans="1:18" s="11" customFormat="1" ht="16.2">
      <c r="A151" s="12">
        <v>143</v>
      </c>
      <c r="B151" s="34">
        <f t="shared" si="7"/>
        <v>143</v>
      </c>
      <c r="C151" s="4"/>
      <c r="D151" s="16"/>
      <c r="E151" s="7"/>
      <c r="F151" s="78"/>
      <c r="G151" s="50" t="str">
        <f>IFERROR(VLOOKUP($F151,'Project Summary'!$B$9:$M$106,3,FALSE),"")</f>
        <v/>
      </c>
      <c r="H151" s="50" t="str">
        <f>IFERROR(VLOOKUP($F151,'Project Summary'!$B$9:$M$106,4,FALSE),"")</f>
        <v/>
      </c>
      <c r="I151" s="50" t="str">
        <f>IFERROR(VLOOKUP($F151,'Project Summary'!$B$9:$M$106,5,FALSE),"")</f>
        <v/>
      </c>
      <c r="J151" s="84" t="str">
        <f>IFERROR(VLOOKUP($F151,'Project Summary'!$B$9:$M$106,7,FALSE),"")</f>
        <v/>
      </c>
      <c r="K151" s="82"/>
      <c r="L151" s="6" t="str">
        <f t="shared" si="8"/>
        <v/>
      </c>
      <c r="M151" s="9"/>
      <c r="N151" s="13"/>
      <c r="O151" s="8"/>
      <c r="P151" s="7"/>
      <c r="Q151" s="8"/>
      <c r="R151" s="14"/>
    </row>
    <row r="152" spans="1:18" s="62" customFormat="1">
      <c r="A152" s="55"/>
      <c r="B152" s="55"/>
      <c r="C152" s="55"/>
      <c r="D152" s="56"/>
      <c r="E152" s="56"/>
      <c r="F152" s="56"/>
      <c r="G152" s="57"/>
      <c r="H152" s="57"/>
      <c r="I152" s="58"/>
      <c r="J152" s="85"/>
      <c r="K152" s="59"/>
      <c r="L152" s="59"/>
      <c r="M152" s="60"/>
      <c r="N152" s="61"/>
      <c r="P152" s="60"/>
    </row>
    <row r="153" spans="1:18" s="62" customFormat="1">
      <c r="A153" s="55"/>
      <c r="B153" s="55"/>
      <c r="C153" s="55"/>
      <c r="D153" s="56"/>
      <c r="E153" s="56"/>
      <c r="F153" s="56"/>
      <c r="G153" s="57"/>
      <c r="H153" s="57"/>
      <c r="I153" s="58"/>
      <c r="J153" s="86">
        <f>SUBTOTAL(9,J5:J151)</f>
        <v>42280329.849999994</v>
      </c>
      <c r="K153" s="63">
        <f>SUBTOTAL(9,K5:K151)</f>
        <v>5395140.25</v>
      </c>
      <c r="L153" s="63"/>
      <c r="M153" s="61"/>
      <c r="N153" s="37"/>
    </row>
    <row r="155" spans="1:18" ht="13.8">
      <c r="C155" s="64"/>
      <c r="P155" s="39"/>
    </row>
    <row r="156" spans="1:18">
      <c r="C156" s="36" t="s">
        <v>15</v>
      </c>
      <c r="D156" s="95">
        <v>14650000</v>
      </c>
      <c r="E156" s="65"/>
      <c r="F156" s="65"/>
      <c r="K156" s="36" t="s">
        <v>12</v>
      </c>
      <c r="L156" s="36"/>
      <c r="M156" s="61" t="s">
        <v>34</v>
      </c>
    </row>
    <row r="157" spans="1:18">
      <c r="A157" s="66"/>
      <c r="B157" s="66"/>
      <c r="C157" s="66">
        <v>1</v>
      </c>
      <c r="D157" s="67">
        <f t="shared" ref="D157:D166" si="9">SUMIF($Q$5:$Q$151,$C157,$K$5:$K$151)</f>
        <v>0</v>
      </c>
      <c r="E157" s="67">
        <f>$D$156-SUM($D$157:$D157)</f>
        <v>14650000</v>
      </c>
      <c r="F157" s="67"/>
      <c r="K157" s="66">
        <v>1</v>
      </c>
      <c r="L157" s="67"/>
      <c r="M157" s="67">
        <f t="shared" ref="M157:M166" si="10">SUMIFS($K$5:$K$151,$P$5:$P$151,M$156,$O$5:$O$151,$C157)</f>
        <v>0</v>
      </c>
    </row>
    <row r="158" spans="1:18">
      <c r="A158" s="66"/>
      <c r="B158" s="66"/>
      <c r="C158" s="66">
        <v>2</v>
      </c>
      <c r="D158" s="67">
        <f t="shared" si="9"/>
        <v>0</v>
      </c>
      <c r="E158" s="67">
        <f>$D$156-SUM($D$157:$D158)</f>
        <v>14650000</v>
      </c>
      <c r="F158" s="67"/>
      <c r="K158" s="66">
        <v>2</v>
      </c>
      <c r="L158" s="66"/>
      <c r="M158" s="67">
        <f t="shared" si="10"/>
        <v>0</v>
      </c>
    </row>
    <row r="159" spans="1:18">
      <c r="A159" s="66"/>
      <c r="B159" s="66"/>
      <c r="C159" s="66">
        <v>3</v>
      </c>
      <c r="D159" s="67">
        <f t="shared" si="9"/>
        <v>0</v>
      </c>
      <c r="E159" s="67">
        <f>$D$156-SUM($D$157:$D159)</f>
        <v>14650000</v>
      </c>
      <c r="F159" s="67"/>
      <c r="K159" s="66">
        <v>3</v>
      </c>
      <c r="L159" s="66"/>
      <c r="M159" s="67">
        <f t="shared" si="10"/>
        <v>0</v>
      </c>
    </row>
    <row r="160" spans="1:18">
      <c r="A160" s="66"/>
      <c r="B160" s="66"/>
      <c r="C160" s="66">
        <v>4</v>
      </c>
      <c r="D160" s="67">
        <f t="shared" si="9"/>
        <v>0</v>
      </c>
      <c r="E160" s="67">
        <f>$D$156-SUM($D$157:$D160)</f>
        <v>14650000</v>
      </c>
      <c r="F160" s="67"/>
      <c r="K160" s="66">
        <v>4</v>
      </c>
      <c r="L160" s="66"/>
      <c r="M160" s="67">
        <f t="shared" si="10"/>
        <v>0</v>
      </c>
    </row>
    <row r="161" spans="1:16">
      <c r="A161" s="66"/>
      <c r="B161" s="66"/>
      <c r="C161" s="66">
        <v>5</v>
      </c>
      <c r="D161" s="67">
        <f t="shared" si="9"/>
        <v>0</v>
      </c>
      <c r="E161" s="67">
        <f>$D$156-SUM($D$157:$D161)</f>
        <v>14650000</v>
      </c>
      <c r="F161" s="67"/>
      <c r="K161" s="66">
        <v>5</v>
      </c>
      <c r="L161" s="66"/>
      <c r="M161" s="67">
        <f t="shared" si="10"/>
        <v>0</v>
      </c>
    </row>
    <row r="162" spans="1:16">
      <c r="A162" s="66"/>
      <c r="B162" s="66"/>
      <c r="C162" s="66">
        <v>6</v>
      </c>
      <c r="D162" s="67">
        <f t="shared" si="9"/>
        <v>0</v>
      </c>
      <c r="E162" s="67">
        <f>$D$156-SUM($D$157:$D162)</f>
        <v>14650000</v>
      </c>
      <c r="F162" s="67"/>
      <c r="K162" s="66">
        <v>6</v>
      </c>
      <c r="L162" s="66"/>
      <c r="M162" s="67">
        <f t="shared" si="10"/>
        <v>0</v>
      </c>
    </row>
    <row r="163" spans="1:16">
      <c r="A163" s="66"/>
      <c r="B163" s="66"/>
      <c r="C163" s="66">
        <v>7</v>
      </c>
      <c r="D163" s="67">
        <f t="shared" si="9"/>
        <v>0</v>
      </c>
      <c r="E163" s="67">
        <f>$D$156-SUM($D$157:$D163)</f>
        <v>14650000</v>
      </c>
      <c r="F163" s="67"/>
      <c r="K163" s="66">
        <v>7</v>
      </c>
      <c r="L163" s="66"/>
      <c r="M163" s="67">
        <f t="shared" si="10"/>
        <v>0</v>
      </c>
    </row>
    <row r="164" spans="1:16">
      <c r="A164" s="66"/>
      <c r="B164" s="66"/>
      <c r="C164" s="66">
        <v>8</v>
      </c>
      <c r="D164" s="67">
        <f t="shared" si="9"/>
        <v>0</v>
      </c>
      <c r="E164" s="67"/>
      <c r="F164" s="67"/>
      <c r="K164" s="66">
        <v>8</v>
      </c>
      <c r="L164" s="66"/>
      <c r="M164" s="67">
        <f t="shared" si="10"/>
        <v>0</v>
      </c>
    </row>
    <row r="165" spans="1:16">
      <c r="A165" s="66"/>
      <c r="B165" s="66"/>
      <c r="C165" s="66">
        <v>9</v>
      </c>
      <c r="D165" s="67">
        <f t="shared" si="9"/>
        <v>0</v>
      </c>
      <c r="E165" s="67"/>
      <c r="F165" s="67"/>
      <c r="K165" s="66">
        <v>9</v>
      </c>
      <c r="L165" s="66"/>
      <c r="M165" s="67">
        <f t="shared" si="10"/>
        <v>0</v>
      </c>
    </row>
    <row r="166" spans="1:16">
      <c r="A166" s="66"/>
      <c r="B166" s="66"/>
      <c r="C166" s="66">
        <v>10</v>
      </c>
      <c r="D166" s="67">
        <f t="shared" si="9"/>
        <v>0</v>
      </c>
      <c r="E166" s="67"/>
      <c r="F166" s="67"/>
      <c r="K166" s="66">
        <v>10</v>
      </c>
      <c r="L166" s="66"/>
      <c r="M166" s="67">
        <f t="shared" si="10"/>
        <v>0</v>
      </c>
      <c r="N166" s="68" t="s">
        <v>14</v>
      </c>
      <c r="O166" s="37" t="s">
        <v>7</v>
      </c>
    </row>
    <row r="167" spans="1:16" ht="13.8" thickBot="1">
      <c r="D167" s="69">
        <f t="shared" ref="D167" si="11">SUM(D157:D166)</f>
        <v>0</v>
      </c>
      <c r="E167" s="69">
        <f>MIN(E157:E166)</f>
        <v>14650000</v>
      </c>
      <c r="F167" s="80"/>
      <c r="M167" s="69">
        <f>SUM(M157:M166)</f>
        <v>0</v>
      </c>
      <c r="N167" s="70">
        <f>SUM(D167:M167)</f>
        <v>14650000</v>
      </c>
      <c r="O167" s="71">
        <f>SUMIF(O5:O151,O166,K5:K151)</f>
        <v>0</v>
      </c>
      <c r="P167" s="39"/>
    </row>
    <row r="168" spans="1:16" ht="13.8" thickTop="1"/>
  </sheetData>
  <autoFilter ref="C4:Q151" xr:uid="{00000000-0009-0000-0000-000001000000}"/>
  <phoneticPr fontId="1" type="noConversion"/>
  <conditionalFormatting sqref="D1:D10 D31:D91 D94:D104 D106:D113 D115:D1048576">
    <cfRule type="duplicateValues" dxfId="18" priority="20"/>
  </conditionalFormatting>
  <conditionalFormatting sqref="F5:L5 F31:I47 F86:I91 F85:H85 F75:H75 F73:I74 F72:H72 F67:I71 F66:H66 F57:H57 F49:I56 F48:H48 F58:I65 F76:I84 F94:I151 K94:L151 K31:L91 F6:I10 K6:L10 J6:J151">
    <cfRule type="expression" dxfId="17" priority="18">
      <formula>$L5=0</formula>
    </cfRule>
  </conditionalFormatting>
  <conditionalFormatting sqref="D11:D30">
    <cfRule type="duplicateValues" dxfId="16" priority="17"/>
  </conditionalFormatting>
  <conditionalFormatting sqref="F11:I19 F29:I30 F28:H28 F21:I27 F20:H20 K11:L30">
    <cfRule type="expression" dxfId="15" priority="16">
      <formula>$L11=0</formula>
    </cfRule>
  </conditionalFormatting>
  <conditionalFormatting sqref="C57">
    <cfRule type="duplicateValues" dxfId="14" priority="15"/>
  </conditionalFormatting>
  <conditionalFormatting sqref="D92">
    <cfRule type="duplicateValues" dxfId="13" priority="14"/>
  </conditionalFormatting>
  <conditionalFormatting sqref="F92:I92 F93:H93 K92:L93">
    <cfRule type="expression" dxfId="12" priority="13">
      <formula>$L92=0</formula>
    </cfRule>
  </conditionalFormatting>
  <conditionalFormatting sqref="D93">
    <cfRule type="duplicateValues" dxfId="11" priority="12"/>
  </conditionalFormatting>
  <conditionalFormatting sqref="I93">
    <cfRule type="expression" dxfId="10" priority="11">
      <formula>$L93=0</formula>
    </cfRule>
  </conditionalFormatting>
  <conditionalFormatting sqref="I85">
    <cfRule type="expression" dxfId="9" priority="10">
      <formula>$L85=0</formula>
    </cfRule>
  </conditionalFormatting>
  <conditionalFormatting sqref="I75">
    <cfRule type="expression" dxfId="8" priority="9">
      <formula>$L75=0</formula>
    </cfRule>
  </conditionalFormatting>
  <conditionalFormatting sqref="I72">
    <cfRule type="expression" dxfId="7" priority="8">
      <formula>$L72=0</formula>
    </cfRule>
  </conditionalFormatting>
  <conditionalFormatting sqref="I66">
    <cfRule type="expression" dxfId="6" priority="7">
      <formula>$L66=0</formula>
    </cfRule>
  </conditionalFormatting>
  <conditionalFormatting sqref="I57">
    <cfRule type="expression" dxfId="5" priority="6">
      <formula>$L57=0</formula>
    </cfRule>
  </conditionalFormatting>
  <conditionalFormatting sqref="I48">
    <cfRule type="expression" dxfId="4" priority="5">
      <formula>$L48=0</formula>
    </cfRule>
  </conditionalFormatting>
  <conditionalFormatting sqref="I28">
    <cfRule type="expression" dxfId="3" priority="4">
      <formula>$L28=0</formula>
    </cfRule>
  </conditionalFormatting>
  <conditionalFormatting sqref="I20">
    <cfRule type="expression" dxfId="2" priority="3">
      <formula>$L20=0</formula>
    </cfRule>
  </conditionalFormatting>
  <conditionalFormatting sqref="D105">
    <cfRule type="duplicateValues" dxfId="1" priority="2"/>
  </conditionalFormatting>
  <conditionalFormatting sqref="D114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2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R82"/>
  <sheetViews>
    <sheetView tabSelected="1" zoomScale="70" zoomScaleNormal="70" workbookViewId="0">
      <pane xSplit="2" ySplit="8" topLeftCell="C45" activePane="bottomRight" state="frozen"/>
      <selection pane="topRight" activeCell="C1" sqref="C1"/>
      <selection pane="bottomLeft" activeCell="A2" sqref="A2"/>
      <selection pane="bottomRight" activeCell="F50" sqref="F50"/>
    </sheetView>
  </sheetViews>
  <sheetFormatPr defaultColWidth="9" defaultRowHeight="15.6"/>
  <cols>
    <col min="1" max="1" width="9" style="1"/>
    <col min="2" max="2" width="19.33203125" style="1" bestFit="1" customWidth="1"/>
    <col min="3" max="3" width="16.44140625" style="1" customWidth="1"/>
    <col min="4" max="4" width="33.33203125" style="1" customWidth="1"/>
    <col min="5" max="5" width="28" style="1" customWidth="1"/>
    <col min="6" max="7" width="28" style="87" customWidth="1"/>
    <col min="8" max="8" width="19" style="2" bestFit="1" customWidth="1"/>
    <col min="9" max="10" width="19.21875" style="2" customWidth="1"/>
    <col min="11" max="11" width="26.44140625" style="1" customWidth="1"/>
    <col min="12" max="12" width="16.109375" style="87" hidden="1" customWidth="1"/>
    <col min="13" max="16" width="19.21875" style="87" hidden="1" customWidth="1"/>
    <col min="17" max="17" width="16.21875" style="3" bestFit="1" customWidth="1"/>
    <col min="18" max="18" width="15.6640625" style="1" customWidth="1"/>
    <col min="19" max="16384" width="9" style="1"/>
  </cols>
  <sheetData>
    <row r="1" spans="1:18" ht="22.5" customHeight="1">
      <c r="A1" s="17" t="s">
        <v>29</v>
      </c>
      <c r="F1" s="1"/>
      <c r="G1" s="1"/>
      <c r="H1" s="1"/>
      <c r="I1" s="253"/>
      <c r="J1" s="1"/>
      <c r="L1" s="253"/>
      <c r="M1" s="1"/>
      <c r="N1" s="1"/>
      <c r="O1" s="1"/>
      <c r="P1" s="1"/>
      <c r="Q1" s="1"/>
    </row>
    <row r="2" spans="1:18" ht="16.5" customHeight="1">
      <c r="A2" s="254" t="s">
        <v>87</v>
      </c>
      <c r="B2" s="255"/>
      <c r="C2" s="255"/>
      <c r="D2" s="255"/>
      <c r="E2" s="255"/>
      <c r="F2" s="255"/>
      <c r="G2" s="255"/>
      <c r="H2" s="255"/>
      <c r="I2" s="253"/>
      <c r="J2" s="255"/>
      <c r="K2" s="255"/>
      <c r="L2" s="253"/>
      <c r="M2" s="1"/>
      <c r="N2" s="1"/>
      <c r="O2" s="1"/>
      <c r="P2" s="1"/>
      <c r="Q2" s="1"/>
    </row>
    <row r="3" spans="1:18" ht="16.5" customHeight="1">
      <c r="A3" s="254"/>
      <c r="B3" s="255"/>
      <c r="C3" s="255"/>
      <c r="D3" s="255"/>
      <c r="E3" s="255"/>
      <c r="F3" s="255"/>
      <c r="G3" s="255"/>
      <c r="H3" s="255"/>
      <c r="I3" s="253"/>
      <c r="J3" s="255"/>
      <c r="K3" s="255"/>
      <c r="L3" s="253"/>
      <c r="M3" s="1"/>
      <c r="N3" s="1"/>
      <c r="O3" s="1"/>
      <c r="P3" s="1"/>
      <c r="Q3" s="1"/>
    </row>
    <row r="4" spans="1:18" ht="16.5" customHeight="1">
      <c r="A4" s="256" t="s">
        <v>422</v>
      </c>
      <c r="B4" s="257" t="s">
        <v>423</v>
      </c>
      <c r="C4" s="255"/>
      <c r="D4" s="255"/>
      <c r="E4" s="255"/>
      <c r="F4" s="255"/>
      <c r="G4" s="255"/>
      <c r="H4" s="255"/>
      <c r="I4" s="258" t="s">
        <v>424</v>
      </c>
      <c r="J4" s="259">
        <f>Summary!B18</f>
        <v>7400000</v>
      </c>
      <c r="L4" s="253"/>
      <c r="M4" s="1"/>
      <c r="N4" s="1"/>
      <c r="O4" s="1"/>
      <c r="P4" s="1"/>
      <c r="Q4" s="1"/>
    </row>
    <row r="5" spans="1:18" ht="16.5" customHeight="1">
      <c r="A5" s="254"/>
      <c r="B5" s="255"/>
      <c r="C5" s="255"/>
      <c r="D5" s="255"/>
      <c r="E5" s="255"/>
      <c r="F5" s="255"/>
      <c r="G5" s="255"/>
      <c r="H5" s="255"/>
      <c r="I5" s="260" t="s">
        <v>45</v>
      </c>
      <c r="J5" s="264"/>
      <c r="L5" s="259" t="s">
        <v>425</v>
      </c>
      <c r="M5" s="1"/>
      <c r="N5" s="1"/>
      <c r="O5" s="1"/>
      <c r="P5" s="1"/>
      <c r="Q5" s="1"/>
    </row>
    <row r="6" spans="1:18" ht="22.2" customHeight="1" thickBot="1">
      <c r="A6" s="254"/>
      <c r="B6" s="255"/>
      <c r="C6" s="255"/>
      <c r="D6" s="255"/>
      <c r="E6" s="255"/>
      <c r="F6" s="255"/>
      <c r="G6" s="255"/>
      <c r="H6" s="255"/>
      <c r="I6" s="261" t="s">
        <v>60</v>
      </c>
      <c r="J6" s="263">
        <f>SUM(J4:J4)</f>
        <v>7400000</v>
      </c>
      <c r="L6" s="253"/>
      <c r="M6" s="1"/>
      <c r="N6" s="1"/>
      <c r="O6" s="1"/>
      <c r="P6" s="1"/>
      <c r="Q6" s="1"/>
    </row>
    <row r="7" spans="1:18" ht="16.5" customHeight="1" thickTop="1" thickBot="1">
      <c r="A7" s="254"/>
      <c r="B7" s="255"/>
      <c r="C7" s="255"/>
      <c r="D7" s="255"/>
      <c r="E7" s="255"/>
      <c r="F7" s="255"/>
      <c r="G7" s="255"/>
      <c r="H7" s="255"/>
      <c r="I7" s="261"/>
      <c r="J7" s="261"/>
      <c r="L7" s="253"/>
      <c r="M7" s="1"/>
      <c r="N7" s="1"/>
      <c r="O7" s="1"/>
      <c r="P7" s="1"/>
      <c r="Q7" s="1"/>
    </row>
    <row r="8" spans="1:18" ht="28.2" thickBot="1">
      <c r="A8" s="30" t="s">
        <v>36</v>
      </c>
      <c r="B8" s="72" t="s">
        <v>37</v>
      </c>
      <c r="C8" s="72" t="s">
        <v>74</v>
      </c>
      <c r="D8" s="31" t="s">
        <v>38</v>
      </c>
      <c r="E8" s="31" t="s">
        <v>52</v>
      </c>
      <c r="F8" s="31" t="s">
        <v>53</v>
      </c>
      <c r="G8" s="72" t="s">
        <v>427</v>
      </c>
      <c r="H8" s="73" t="s">
        <v>54</v>
      </c>
      <c r="I8" s="73" t="s">
        <v>55</v>
      </c>
      <c r="J8" s="73" t="s">
        <v>56</v>
      </c>
      <c r="K8" s="31" t="s">
        <v>57</v>
      </c>
      <c r="L8" s="90" t="s">
        <v>67</v>
      </c>
      <c r="M8" s="72" t="s">
        <v>58</v>
      </c>
      <c r="N8" s="90" t="s">
        <v>68</v>
      </c>
      <c r="O8" s="90" t="s">
        <v>69</v>
      </c>
      <c r="P8" s="90" t="s">
        <v>70</v>
      </c>
      <c r="Q8" s="88" t="s">
        <v>65</v>
      </c>
    </row>
    <row r="9" spans="1:18" ht="16.8" thickTop="1">
      <c r="A9" s="32">
        <v>1</v>
      </c>
      <c r="B9" s="96" t="s">
        <v>100</v>
      </c>
      <c r="C9" s="97" t="str">
        <f>HYPERLINK("Z:\MePork\000 綜合\020 報價合約\Quotation\2024\MS_Q1241_24_kp (C9644-24C Extension of Fitness Room at KBD Recreation &amp; Sports Centre)\P1 - Payment\Quotation Records\"&amp;B9&amp;".PDF",B9)</f>
        <v>O-001</v>
      </c>
      <c r="D9" s="76" t="s">
        <v>101</v>
      </c>
      <c r="E9" s="113" t="s">
        <v>231</v>
      </c>
      <c r="F9" s="74" t="s">
        <v>102</v>
      </c>
      <c r="G9" s="74"/>
      <c r="H9" s="75">
        <v>44360</v>
      </c>
      <c r="I9" s="75"/>
      <c r="J9" s="75">
        <f t="shared" ref="J9:J72" si="0">H9+I9</f>
        <v>44360</v>
      </c>
      <c r="K9" s="74"/>
      <c r="L9" s="99" t="s">
        <v>66</v>
      </c>
      <c r="M9" s="74" t="s">
        <v>103</v>
      </c>
      <c r="N9" s="100" t="s">
        <v>103</v>
      </c>
      <c r="O9" s="100"/>
      <c r="P9" s="100" t="s">
        <v>103</v>
      </c>
      <c r="Q9" s="89">
        <v>45640</v>
      </c>
      <c r="R9" s="91">
        <f>J9/Summary!B18</f>
        <v>5.9945945945945947E-3</v>
      </c>
    </row>
    <row r="10" spans="1:18" ht="26.4" customHeight="1">
      <c r="A10" s="32" t="s">
        <v>347</v>
      </c>
      <c r="B10" s="229" t="s">
        <v>348</v>
      </c>
      <c r="C10" s="97" t="str">
        <f>HYPERLINK("Z:\MePork\000 綜合\020 報價合約\Quotation\2024\MS_Q1241_24_kp (C9644-24C Extension of Fitness Room at KBD Recreation &amp; Sports Centre)\P1 - Payment\Quotation Records\"&amp;B10&amp;".PDF",B10)</f>
        <v>O-001.1</v>
      </c>
      <c r="D10" s="76" t="s">
        <v>101</v>
      </c>
      <c r="E10" s="113" t="s">
        <v>231</v>
      </c>
      <c r="F10" s="74" t="s">
        <v>349</v>
      </c>
      <c r="G10" s="74"/>
      <c r="H10" s="75">
        <v>12366.35</v>
      </c>
      <c r="I10" s="75"/>
      <c r="J10" s="75">
        <f t="shared" si="0"/>
        <v>12366.35</v>
      </c>
      <c r="K10" s="74"/>
      <c r="L10" s="99"/>
      <c r="M10" s="74"/>
      <c r="N10" s="100"/>
      <c r="O10" s="100"/>
      <c r="P10" s="100"/>
      <c r="Q10" s="118">
        <v>46049</v>
      </c>
      <c r="R10" s="91"/>
    </row>
    <row r="11" spans="1:18" ht="16.2">
      <c r="A11" s="33">
        <v>2</v>
      </c>
      <c r="B11" s="101" t="s">
        <v>39</v>
      </c>
      <c r="C11" s="97" t="str">
        <f>HYPERLINK("Z:\MePork\000 綜合\020 報價合約\Quotation\2024\MS_Q1241_24_kp (C9644-24C Extension of Fitness Room at KBD Recreation &amp; Sports Centre)\P1 - Payment\Quotation Records\"&amp;B11&amp;".PDF",B11)</f>
        <v>SC-002</v>
      </c>
      <c r="D11" s="76" t="s">
        <v>104</v>
      </c>
      <c r="E11" s="76" t="s">
        <v>105</v>
      </c>
      <c r="F11" s="74" t="s">
        <v>106</v>
      </c>
      <c r="G11" s="74"/>
      <c r="H11" s="102">
        <v>800000</v>
      </c>
      <c r="I11" s="102"/>
      <c r="J11" s="75">
        <f t="shared" si="0"/>
        <v>800000</v>
      </c>
      <c r="K11" s="74"/>
      <c r="L11" s="74" t="s">
        <v>103</v>
      </c>
      <c r="M11" s="74" t="s">
        <v>103</v>
      </c>
      <c r="N11" s="103" t="s">
        <v>66</v>
      </c>
      <c r="O11" s="104" t="s">
        <v>103</v>
      </c>
      <c r="P11" s="104" t="s">
        <v>107</v>
      </c>
      <c r="Q11" s="89">
        <v>45647</v>
      </c>
      <c r="R11" s="91"/>
    </row>
    <row r="12" spans="1:18" ht="16.2">
      <c r="A12" s="33" t="s">
        <v>293</v>
      </c>
      <c r="B12" s="101" t="s">
        <v>294</v>
      </c>
      <c r="C12" s="97" t="str">
        <f t="shared" ref="C12:C72" si="1">HYPERLINK("Z:\MePork\000 綜合\020 報價合約\Quotation\2024\MS_Q1241_24_kp (C9644-24C Extension of Fitness Room at KBD Recreation &amp; Sports Centre)\P1 - Payment\Quotation Records\"&amp;B12&amp;".PDF",B12)</f>
        <v>SC-002A</v>
      </c>
      <c r="D12" s="76" t="s">
        <v>104</v>
      </c>
      <c r="E12" s="76" t="s">
        <v>105</v>
      </c>
      <c r="F12" s="74" t="s">
        <v>317</v>
      </c>
      <c r="G12" s="74"/>
      <c r="H12" s="102">
        <v>12000</v>
      </c>
      <c r="I12" s="102"/>
      <c r="J12" s="75">
        <f t="shared" si="0"/>
        <v>12000</v>
      </c>
      <c r="K12" s="115" t="s">
        <v>253</v>
      </c>
      <c r="L12" s="74"/>
      <c r="M12" s="74"/>
      <c r="N12" s="103"/>
      <c r="O12" s="104"/>
      <c r="P12" s="104"/>
      <c r="Q12" s="89">
        <v>45978</v>
      </c>
      <c r="R12" s="91"/>
    </row>
    <row r="13" spans="1:18" ht="16.2">
      <c r="A13" s="33">
        <v>3</v>
      </c>
      <c r="B13" s="101" t="s">
        <v>108</v>
      </c>
      <c r="C13" s="97" t="str">
        <f t="shared" si="1"/>
        <v>SC-003</v>
      </c>
      <c r="D13" s="98" t="s">
        <v>109</v>
      </c>
      <c r="E13" s="98" t="s">
        <v>110</v>
      </c>
      <c r="F13" s="74" t="s">
        <v>92</v>
      </c>
      <c r="G13" s="74"/>
      <c r="H13" s="102">
        <v>1900000</v>
      </c>
      <c r="I13" s="102"/>
      <c r="J13" s="75">
        <f t="shared" si="0"/>
        <v>1900000</v>
      </c>
      <c r="K13" s="74"/>
      <c r="L13" s="74" t="s">
        <v>103</v>
      </c>
      <c r="M13" s="74" t="s">
        <v>103</v>
      </c>
      <c r="N13" s="104"/>
      <c r="O13" s="104" t="s">
        <v>103</v>
      </c>
      <c r="P13" s="104" t="s">
        <v>107</v>
      </c>
      <c r="Q13" s="89">
        <v>45647</v>
      </c>
    </row>
    <row r="14" spans="1:18" ht="16.2">
      <c r="A14" s="105" t="s">
        <v>111</v>
      </c>
      <c r="B14" s="106" t="s">
        <v>112</v>
      </c>
      <c r="C14" s="97" t="str">
        <f t="shared" si="1"/>
        <v>SC-003A</v>
      </c>
      <c r="D14" s="107" t="s">
        <v>109</v>
      </c>
      <c r="E14" s="221" t="s">
        <v>93</v>
      </c>
      <c r="F14" s="108" t="s">
        <v>113</v>
      </c>
      <c r="G14" s="108"/>
      <c r="H14" s="109">
        <v>15000</v>
      </c>
      <c r="I14" s="109"/>
      <c r="J14" s="110">
        <f t="shared" si="0"/>
        <v>15000</v>
      </c>
      <c r="K14" s="108"/>
      <c r="L14" s="108"/>
      <c r="M14" s="108"/>
      <c r="N14" s="111"/>
      <c r="O14" s="111"/>
      <c r="P14" s="111"/>
      <c r="Q14" s="112">
        <v>45828</v>
      </c>
    </row>
    <row r="15" spans="1:18" ht="16.2">
      <c r="A15" s="105" t="s">
        <v>366</v>
      </c>
      <c r="B15" s="106" t="s">
        <v>367</v>
      </c>
      <c r="C15" s="97"/>
      <c r="D15" s="107" t="s">
        <v>109</v>
      </c>
      <c r="E15" s="221" t="s">
        <v>93</v>
      </c>
      <c r="F15" s="108" t="s">
        <v>368</v>
      </c>
      <c r="G15" s="108"/>
      <c r="H15" s="251">
        <f>350700+796500-500000</f>
        <v>647200</v>
      </c>
      <c r="I15" s="109"/>
      <c r="J15" s="110">
        <f t="shared" si="0"/>
        <v>647200</v>
      </c>
      <c r="K15" s="108"/>
      <c r="L15" s="108"/>
      <c r="M15" s="108"/>
      <c r="N15" s="111"/>
      <c r="O15" s="111"/>
      <c r="P15" s="111"/>
      <c r="Q15" s="112"/>
    </row>
    <row r="16" spans="1:18" ht="32.4" customHeight="1">
      <c r="A16" s="33">
        <v>4</v>
      </c>
      <c r="B16" s="101" t="s">
        <v>73</v>
      </c>
      <c r="C16" s="97" t="str">
        <f t="shared" si="1"/>
        <v>SC-004</v>
      </c>
      <c r="D16" s="98" t="s">
        <v>114</v>
      </c>
      <c r="E16" s="113" t="s">
        <v>99</v>
      </c>
      <c r="F16" s="74" t="s">
        <v>115</v>
      </c>
      <c r="G16" s="74"/>
      <c r="H16" s="114">
        <v>800000</v>
      </c>
      <c r="I16" s="114"/>
      <c r="J16" s="75">
        <f t="shared" si="0"/>
        <v>800000</v>
      </c>
      <c r="K16" s="74"/>
      <c r="L16" s="74" t="s">
        <v>103</v>
      </c>
      <c r="M16" s="74" t="s">
        <v>103</v>
      </c>
      <c r="N16" s="103" t="s">
        <v>66</v>
      </c>
      <c r="O16" s="104" t="s">
        <v>103</v>
      </c>
      <c r="P16" s="104" t="s">
        <v>107</v>
      </c>
      <c r="Q16" s="89">
        <v>45647</v>
      </c>
    </row>
    <row r="17" spans="1:17" ht="27.6" customHeight="1">
      <c r="A17" s="33" t="s">
        <v>116</v>
      </c>
      <c r="B17" s="101" t="s">
        <v>117</v>
      </c>
      <c r="C17" s="97" t="str">
        <f t="shared" si="1"/>
        <v>SC-004A</v>
      </c>
      <c r="D17" s="98" t="s">
        <v>114</v>
      </c>
      <c r="E17" s="113" t="s">
        <v>99</v>
      </c>
      <c r="F17" s="115" t="s">
        <v>118</v>
      </c>
      <c r="G17" s="115"/>
      <c r="H17" s="114">
        <v>83000</v>
      </c>
      <c r="I17" s="114"/>
      <c r="J17" s="75">
        <f t="shared" si="0"/>
        <v>83000</v>
      </c>
      <c r="K17" s="74"/>
      <c r="L17" s="74"/>
      <c r="M17" s="74"/>
      <c r="N17" s="103"/>
      <c r="O17" s="104"/>
      <c r="P17" s="104"/>
      <c r="Q17" s="89">
        <v>45861</v>
      </c>
    </row>
    <row r="18" spans="1:17" ht="25.5" customHeight="1">
      <c r="A18" s="33">
        <v>5</v>
      </c>
      <c r="B18" s="101" t="s">
        <v>119</v>
      </c>
      <c r="C18" s="97" t="str">
        <f t="shared" si="1"/>
        <v>O-005</v>
      </c>
      <c r="D18" s="76" t="s">
        <v>120</v>
      </c>
      <c r="E18" s="76" t="s">
        <v>121</v>
      </c>
      <c r="F18" s="74" t="s">
        <v>122</v>
      </c>
      <c r="G18" s="74"/>
      <c r="H18" s="116">
        <f>15000+4562.5+540+500+2940+520+3180</f>
        <v>27242.5</v>
      </c>
      <c r="I18" s="116"/>
      <c r="J18" s="75">
        <f t="shared" si="0"/>
        <v>27242.5</v>
      </c>
      <c r="K18" s="74" t="s">
        <v>123</v>
      </c>
      <c r="L18" s="99" t="s">
        <v>66</v>
      </c>
      <c r="M18" s="117" t="s">
        <v>66</v>
      </c>
      <c r="N18" s="117" t="s">
        <v>66</v>
      </c>
      <c r="O18" s="117" t="s">
        <v>66</v>
      </c>
      <c r="P18" s="117" t="s">
        <v>66</v>
      </c>
      <c r="Q18" s="118" t="s">
        <v>66</v>
      </c>
    </row>
    <row r="19" spans="1:17" ht="26.4">
      <c r="A19" s="33">
        <v>6</v>
      </c>
      <c r="B19" s="101" t="s">
        <v>124</v>
      </c>
      <c r="C19" s="97" t="str">
        <f t="shared" si="1"/>
        <v>O-006</v>
      </c>
      <c r="D19" s="76" t="s">
        <v>125</v>
      </c>
      <c r="E19" s="119" t="s">
        <v>126</v>
      </c>
      <c r="F19" s="74" t="s">
        <v>127</v>
      </c>
      <c r="G19" s="74"/>
      <c r="H19" s="102">
        <f>16000*17</f>
        <v>272000</v>
      </c>
      <c r="I19" s="102"/>
      <c r="J19" s="75">
        <f t="shared" si="0"/>
        <v>272000</v>
      </c>
      <c r="K19" s="74" t="s">
        <v>351</v>
      </c>
      <c r="L19" s="99" t="s">
        <v>103</v>
      </c>
      <c r="M19" s="117" t="s">
        <v>66</v>
      </c>
      <c r="N19" s="120" t="s">
        <v>66</v>
      </c>
      <c r="O19" s="104" t="s">
        <v>103</v>
      </c>
      <c r="P19" s="104" t="s">
        <v>103</v>
      </c>
      <c r="Q19" s="89">
        <v>45646</v>
      </c>
    </row>
    <row r="20" spans="1:17" ht="26.4">
      <c r="A20" s="33">
        <v>6.2</v>
      </c>
      <c r="B20" s="101" t="s">
        <v>434</v>
      </c>
      <c r="C20" s="97" t="str">
        <f>HYPERLINK("Z:\MePork\000 綜合\020 報價合約\Quotation\2024\MS_Q1241_24_kp (C9644-24C Extension of Fitness Room at KBD Recreation &amp; Sports Centre)\P1 - Payment\Quotation Records\"&amp;B20&amp;".PDF",B20)</f>
        <v>O-006.2</v>
      </c>
      <c r="D20" s="76" t="s">
        <v>125</v>
      </c>
      <c r="E20" s="119" t="s">
        <v>126</v>
      </c>
      <c r="F20" s="74" t="s">
        <v>435</v>
      </c>
      <c r="G20" s="74"/>
      <c r="H20" s="102">
        <v>112000</v>
      </c>
      <c r="I20" s="102"/>
      <c r="J20" s="75">
        <f t="shared" si="0"/>
        <v>112000</v>
      </c>
      <c r="K20" s="74"/>
      <c r="L20" s="99"/>
      <c r="M20" s="117"/>
      <c r="N20" s="120"/>
      <c r="O20" s="104"/>
      <c r="P20" s="104"/>
      <c r="Q20" s="89">
        <v>46175</v>
      </c>
    </row>
    <row r="21" spans="1:17" ht="26.4">
      <c r="A21" s="33">
        <v>6.1</v>
      </c>
      <c r="B21" s="101" t="s">
        <v>128</v>
      </c>
      <c r="C21" s="97" t="str">
        <f t="shared" si="1"/>
        <v>O-006.1</v>
      </c>
      <c r="D21" s="76" t="s">
        <v>125</v>
      </c>
      <c r="E21" s="119" t="s">
        <v>126</v>
      </c>
      <c r="F21" s="74" t="s">
        <v>129</v>
      </c>
      <c r="G21" s="74"/>
      <c r="H21" s="102">
        <v>12000</v>
      </c>
      <c r="I21" s="102"/>
      <c r="J21" s="75">
        <f t="shared" si="0"/>
        <v>12000</v>
      </c>
      <c r="K21" s="74"/>
      <c r="L21" s="99" t="s">
        <v>66</v>
      </c>
      <c r="M21" s="117" t="s">
        <v>66</v>
      </c>
      <c r="N21" s="120" t="s">
        <v>66</v>
      </c>
      <c r="O21" s="104" t="s">
        <v>103</v>
      </c>
      <c r="P21" s="104" t="s">
        <v>103</v>
      </c>
      <c r="Q21" s="89">
        <v>45775</v>
      </c>
    </row>
    <row r="22" spans="1:17" ht="16.2">
      <c r="A22" s="33">
        <v>7</v>
      </c>
      <c r="B22" s="101" t="s">
        <v>85</v>
      </c>
      <c r="C22" s="97" t="str">
        <f t="shared" si="1"/>
        <v>O-007</v>
      </c>
      <c r="D22" s="76" t="s">
        <v>130</v>
      </c>
      <c r="E22" s="119"/>
      <c r="F22" s="74" t="s">
        <v>131</v>
      </c>
      <c r="G22" s="74"/>
      <c r="H22" s="102">
        <f>500+1000+500</f>
        <v>2000</v>
      </c>
      <c r="I22" s="102"/>
      <c r="J22" s="75">
        <f t="shared" si="0"/>
        <v>2000</v>
      </c>
      <c r="K22" s="74"/>
      <c r="L22" s="99" t="s">
        <v>66</v>
      </c>
      <c r="M22" s="117" t="s">
        <v>66</v>
      </c>
      <c r="N22" s="117" t="s">
        <v>66</v>
      </c>
      <c r="O22" s="117" t="s">
        <v>66</v>
      </c>
      <c r="P22" s="117" t="s">
        <v>66</v>
      </c>
      <c r="Q22" s="118" t="s">
        <v>66</v>
      </c>
    </row>
    <row r="23" spans="1:17" ht="28.2" customHeight="1">
      <c r="A23" s="33">
        <v>8</v>
      </c>
      <c r="B23" s="101" t="s">
        <v>132</v>
      </c>
      <c r="C23" s="97" t="str">
        <f t="shared" si="1"/>
        <v>SC-008</v>
      </c>
      <c r="D23" s="76" t="s">
        <v>133</v>
      </c>
      <c r="E23" s="119" t="s">
        <v>134</v>
      </c>
      <c r="F23" s="74" t="s">
        <v>135</v>
      </c>
      <c r="G23" s="74"/>
      <c r="H23" s="102">
        <v>9500</v>
      </c>
      <c r="I23" s="102"/>
      <c r="J23" s="75">
        <f t="shared" si="0"/>
        <v>9500</v>
      </c>
      <c r="K23" s="74"/>
      <c r="L23" s="74"/>
      <c r="M23" s="104"/>
      <c r="N23" s="104"/>
      <c r="O23" s="104"/>
      <c r="P23" s="104"/>
      <c r="Q23" s="89"/>
    </row>
    <row r="24" spans="1:17" ht="28.2" customHeight="1">
      <c r="A24" s="33">
        <v>8.1</v>
      </c>
      <c r="B24" s="101" t="s">
        <v>136</v>
      </c>
      <c r="C24" s="97" t="str">
        <f t="shared" si="1"/>
        <v>SC-008.1</v>
      </c>
      <c r="D24" s="76" t="s">
        <v>133</v>
      </c>
      <c r="E24" s="119" t="s">
        <v>134</v>
      </c>
      <c r="F24" s="74" t="s">
        <v>137</v>
      </c>
      <c r="G24" s="74"/>
      <c r="H24" s="102">
        <v>6000</v>
      </c>
      <c r="I24" s="102"/>
      <c r="J24" s="75">
        <f t="shared" si="0"/>
        <v>6000</v>
      </c>
      <c r="K24" s="74"/>
      <c r="L24" s="74"/>
      <c r="M24" s="104"/>
      <c r="N24" s="104"/>
      <c r="O24" s="104"/>
      <c r="P24" s="104"/>
      <c r="Q24" s="89">
        <v>45873</v>
      </c>
    </row>
    <row r="25" spans="1:17" ht="16.2">
      <c r="A25" s="33">
        <v>9</v>
      </c>
      <c r="B25" s="101" t="s">
        <v>138</v>
      </c>
      <c r="C25" s="97" t="str">
        <f t="shared" si="1"/>
        <v>O-009</v>
      </c>
      <c r="D25" s="76" t="s">
        <v>139</v>
      </c>
      <c r="E25" s="121" t="s">
        <v>140</v>
      </c>
      <c r="F25" s="74" t="s">
        <v>141</v>
      </c>
      <c r="G25" s="74"/>
      <c r="H25" s="102">
        <f>270*2+270+280+270+280</f>
        <v>1640</v>
      </c>
      <c r="I25" s="116"/>
      <c r="J25" s="75">
        <f>H25+I25</f>
        <v>1640</v>
      </c>
      <c r="K25" s="74"/>
      <c r="L25" s="74"/>
      <c r="M25" s="101"/>
      <c r="N25" s="101"/>
      <c r="O25" s="101"/>
      <c r="P25" s="101"/>
      <c r="Q25" s="89"/>
    </row>
    <row r="26" spans="1:17" ht="16.2">
      <c r="A26" s="33">
        <v>10</v>
      </c>
      <c r="B26" s="101" t="s">
        <v>142</v>
      </c>
      <c r="C26" s="97" t="str">
        <f t="shared" si="1"/>
        <v>SC-010</v>
      </c>
      <c r="D26" s="76" t="s">
        <v>143</v>
      </c>
      <c r="E26" s="119" t="s">
        <v>144</v>
      </c>
      <c r="F26" s="74" t="s">
        <v>145</v>
      </c>
      <c r="G26" s="74"/>
      <c r="H26" s="114">
        <v>1100000</v>
      </c>
      <c r="I26" s="114"/>
      <c r="J26" s="75">
        <f t="shared" si="0"/>
        <v>1100000</v>
      </c>
      <c r="K26" s="74"/>
      <c r="L26" s="74"/>
      <c r="M26" s="122"/>
      <c r="N26" s="122"/>
      <c r="O26" s="122"/>
      <c r="P26" s="122"/>
      <c r="Q26" s="89"/>
    </row>
    <row r="27" spans="1:17" ht="16.2">
      <c r="A27" s="33">
        <v>10.1</v>
      </c>
      <c r="B27" s="101" t="s">
        <v>323</v>
      </c>
      <c r="C27" s="97" t="str">
        <f t="shared" si="1"/>
        <v>SC-010.1</v>
      </c>
      <c r="D27" s="76" t="s">
        <v>143</v>
      </c>
      <c r="E27" s="119" t="s">
        <v>144</v>
      </c>
      <c r="F27" s="74" t="s">
        <v>324</v>
      </c>
      <c r="G27" s="74"/>
      <c r="H27" s="114">
        <v>112880</v>
      </c>
      <c r="I27" s="114"/>
      <c r="J27" s="75">
        <f t="shared" si="0"/>
        <v>112880</v>
      </c>
      <c r="K27" s="74"/>
      <c r="L27" s="74"/>
      <c r="M27" s="122"/>
      <c r="N27" s="122"/>
      <c r="O27" s="122"/>
      <c r="P27" s="122"/>
      <c r="Q27" s="89">
        <v>45669</v>
      </c>
    </row>
    <row r="28" spans="1:17" ht="16.2">
      <c r="A28" s="33">
        <v>11</v>
      </c>
      <c r="B28" s="101" t="s">
        <v>146</v>
      </c>
      <c r="C28" s="97" t="str">
        <f t="shared" si="1"/>
        <v>M-011.1</v>
      </c>
      <c r="D28" s="76" t="s">
        <v>147</v>
      </c>
      <c r="E28" s="119" t="s">
        <v>148</v>
      </c>
      <c r="F28" s="74" t="s">
        <v>149</v>
      </c>
      <c r="G28" s="74"/>
      <c r="H28" s="114">
        <f>9*3660</f>
        <v>32940</v>
      </c>
      <c r="I28" s="114"/>
      <c r="J28" s="75">
        <f t="shared" si="0"/>
        <v>32940</v>
      </c>
      <c r="K28" s="74"/>
      <c r="L28" s="74"/>
      <c r="M28" s="122"/>
      <c r="N28" s="122"/>
      <c r="O28" s="122"/>
      <c r="P28" s="122"/>
      <c r="Q28" s="89">
        <v>45861</v>
      </c>
    </row>
    <row r="29" spans="1:17" ht="16.2">
      <c r="A29" s="33">
        <v>11</v>
      </c>
      <c r="B29" s="101" t="s">
        <v>150</v>
      </c>
      <c r="C29" s="97" t="str">
        <f t="shared" si="1"/>
        <v>M-011.2</v>
      </c>
      <c r="D29" s="76" t="s">
        <v>147</v>
      </c>
      <c r="E29" s="119" t="s">
        <v>148</v>
      </c>
      <c r="F29" s="74" t="s">
        <v>149</v>
      </c>
      <c r="G29" s="74"/>
      <c r="H29" s="114">
        <f>7*4440+7975</f>
        <v>39055</v>
      </c>
      <c r="I29" s="114"/>
      <c r="J29" s="75">
        <f t="shared" si="0"/>
        <v>39055</v>
      </c>
      <c r="K29" s="74"/>
      <c r="L29" s="74"/>
      <c r="M29" s="122"/>
      <c r="N29" s="122"/>
      <c r="O29" s="122"/>
      <c r="P29" s="122"/>
      <c r="Q29" s="89">
        <v>45861</v>
      </c>
    </row>
    <row r="30" spans="1:17" ht="16.2">
      <c r="A30" s="33">
        <v>11</v>
      </c>
      <c r="B30" s="101" t="s">
        <v>151</v>
      </c>
      <c r="C30" s="97" t="str">
        <f t="shared" si="1"/>
        <v>M-011.3</v>
      </c>
      <c r="D30" s="76" t="s">
        <v>147</v>
      </c>
      <c r="E30" s="119" t="s">
        <v>148</v>
      </c>
      <c r="F30" s="74" t="s">
        <v>149</v>
      </c>
      <c r="G30" s="74"/>
      <c r="H30" s="114">
        <f>6*3660</f>
        <v>21960</v>
      </c>
      <c r="I30" s="114"/>
      <c r="J30" s="75">
        <f t="shared" si="0"/>
        <v>21960</v>
      </c>
      <c r="K30" s="74"/>
      <c r="L30" s="74"/>
      <c r="M30" s="122"/>
      <c r="N30" s="122"/>
      <c r="O30" s="122"/>
      <c r="P30" s="122"/>
      <c r="Q30" s="89">
        <v>45861</v>
      </c>
    </row>
    <row r="31" spans="1:17" ht="16.2">
      <c r="A31" s="33">
        <v>11</v>
      </c>
      <c r="B31" s="101" t="s">
        <v>152</v>
      </c>
      <c r="C31" s="97" t="str">
        <f t="shared" si="1"/>
        <v>M-011.4</v>
      </c>
      <c r="D31" s="76" t="s">
        <v>147</v>
      </c>
      <c r="E31" s="119" t="s">
        <v>148</v>
      </c>
      <c r="F31" s="74" t="s">
        <v>149</v>
      </c>
      <c r="G31" s="74"/>
      <c r="H31" s="114">
        <f>7*2820</f>
        <v>19740</v>
      </c>
      <c r="I31" s="114"/>
      <c r="J31" s="75">
        <f t="shared" si="0"/>
        <v>19740</v>
      </c>
      <c r="K31" s="74"/>
      <c r="L31" s="74"/>
      <c r="M31" s="122"/>
      <c r="N31" s="122"/>
      <c r="O31" s="122"/>
      <c r="P31" s="122"/>
      <c r="Q31" s="89">
        <v>45861</v>
      </c>
    </row>
    <row r="32" spans="1:17" ht="16.2">
      <c r="A32" s="33">
        <v>11</v>
      </c>
      <c r="B32" s="101" t="s">
        <v>153</v>
      </c>
      <c r="C32" s="97" t="str">
        <f t="shared" si="1"/>
        <v>M-011.5</v>
      </c>
      <c r="D32" s="76" t="s">
        <v>147</v>
      </c>
      <c r="E32" s="119" t="s">
        <v>148</v>
      </c>
      <c r="F32" s="74" t="s">
        <v>149</v>
      </c>
      <c r="G32" s="74"/>
      <c r="H32" s="114">
        <f>2080</f>
        <v>2080</v>
      </c>
      <c r="I32" s="114"/>
      <c r="J32" s="75">
        <f t="shared" si="0"/>
        <v>2080</v>
      </c>
      <c r="K32" s="74"/>
      <c r="L32" s="74"/>
      <c r="M32" s="122"/>
      <c r="N32" s="122"/>
      <c r="O32" s="122"/>
      <c r="P32" s="122"/>
      <c r="Q32" s="89">
        <v>45861</v>
      </c>
    </row>
    <row r="33" spans="1:17" ht="16.2">
      <c r="A33" s="33">
        <v>11</v>
      </c>
      <c r="B33" s="101" t="s">
        <v>154</v>
      </c>
      <c r="C33" s="97" t="str">
        <f t="shared" si="1"/>
        <v>M-011.6</v>
      </c>
      <c r="D33" s="76" t="s">
        <v>147</v>
      </c>
      <c r="E33" s="119" t="s">
        <v>148</v>
      </c>
      <c r="F33" s="74" t="s">
        <v>149</v>
      </c>
      <c r="G33" s="74"/>
      <c r="H33" s="114">
        <v>5400</v>
      </c>
      <c r="I33" s="114"/>
      <c r="J33" s="75">
        <f t="shared" si="0"/>
        <v>5400</v>
      </c>
      <c r="K33" s="74"/>
      <c r="L33" s="74"/>
      <c r="M33" s="122"/>
      <c r="N33" s="122"/>
      <c r="O33" s="122"/>
      <c r="P33" s="122"/>
      <c r="Q33" s="89">
        <v>45861</v>
      </c>
    </row>
    <row r="34" spans="1:17" ht="16.2">
      <c r="A34" s="33">
        <v>11</v>
      </c>
      <c r="B34" s="101" t="s">
        <v>155</v>
      </c>
      <c r="C34" s="97" t="str">
        <f t="shared" si="1"/>
        <v>M-011.7</v>
      </c>
      <c r="D34" s="76" t="s">
        <v>147</v>
      </c>
      <c r="E34" s="119" t="s">
        <v>148</v>
      </c>
      <c r="F34" s="74" t="s">
        <v>149</v>
      </c>
      <c r="G34" s="74"/>
      <c r="H34" s="114">
        <v>1353</v>
      </c>
      <c r="I34" s="114"/>
      <c r="J34" s="75">
        <f t="shared" si="0"/>
        <v>1353</v>
      </c>
      <c r="K34" s="74"/>
      <c r="L34" s="74"/>
      <c r="M34" s="122"/>
      <c r="N34" s="122"/>
      <c r="O34" s="122"/>
      <c r="P34" s="122"/>
      <c r="Q34" s="89">
        <v>45861</v>
      </c>
    </row>
    <row r="35" spans="1:17" ht="16.2">
      <c r="A35" s="33">
        <v>11</v>
      </c>
      <c r="B35" s="101" t="s">
        <v>156</v>
      </c>
      <c r="C35" s="97" t="str">
        <f t="shared" si="1"/>
        <v>M-011.8</v>
      </c>
      <c r="D35" s="76" t="s">
        <v>147</v>
      </c>
      <c r="E35" s="119" t="s">
        <v>148</v>
      </c>
      <c r="F35" s="74" t="s">
        <v>149</v>
      </c>
      <c r="G35" s="74"/>
      <c r="H35" s="114">
        <v>1988.3</v>
      </c>
      <c r="I35" s="114"/>
      <c r="J35" s="75">
        <f t="shared" si="0"/>
        <v>1988.3</v>
      </c>
      <c r="K35" s="74"/>
      <c r="L35" s="74"/>
      <c r="M35" s="122"/>
      <c r="N35" s="122"/>
      <c r="O35" s="122"/>
      <c r="P35" s="122"/>
      <c r="Q35" s="89">
        <v>45861</v>
      </c>
    </row>
    <row r="36" spans="1:17" ht="16.2">
      <c r="A36" s="33">
        <v>11</v>
      </c>
      <c r="B36" s="101" t="s">
        <v>255</v>
      </c>
      <c r="C36" s="97" t="str">
        <f t="shared" si="1"/>
        <v>M-011.9</v>
      </c>
      <c r="D36" s="76" t="s">
        <v>147</v>
      </c>
      <c r="E36" s="119" t="s">
        <v>148</v>
      </c>
      <c r="F36" s="74" t="s">
        <v>149</v>
      </c>
      <c r="G36" s="74"/>
      <c r="H36" s="114">
        <f>16*115.1+20*14+50*4+2*36</f>
        <v>2393.6</v>
      </c>
      <c r="I36" s="114"/>
      <c r="J36" s="75">
        <f t="shared" si="0"/>
        <v>2393.6</v>
      </c>
      <c r="K36" s="74"/>
      <c r="L36" s="74"/>
      <c r="M36" s="122"/>
      <c r="N36" s="122"/>
      <c r="O36" s="122"/>
      <c r="P36" s="122"/>
      <c r="Q36" s="89">
        <v>45861</v>
      </c>
    </row>
    <row r="37" spans="1:17" ht="16.2">
      <c r="A37" s="33">
        <v>11</v>
      </c>
      <c r="B37" s="101" t="s">
        <v>270</v>
      </c>
      <c r="C37" s="97" t="str">
        <f t="shared" si="1"/>
        <v>M-011.10</v>
      </c>
      <c r="D37" s="76" t="s">
        <v>147</v>
      </c>
      <c r="E37" s="119" t="s">
        <v>148</v>
      </c>
      <c r="F37" s="74" t="s">
        <v>149</v>
      </c>
      <c r="G37" s="74"/>
      <c r="H37" s="114">
        <f>80*28+100*2.5+200+200+40*28+10*37+5*67+100*1.5+50*136.9+11*64.8+7*439.2</f>
        <v>15497.199999999999</v>
      </c>
      <c r="I37" s="114"/>
      <c r="J37" s="75">
        <f t="shared" si="0"/>
        <v>15497.199999999999</v>
      </c>
      <c r="K37" s="74"/>
      <c r="L37" s="74"/>
      <c r="M37" s="122"/>
      <c r="N37" s="122"/>
      <c r="O37" s="122"/>
      <c r="P37" s="122"/>
      <c r="Q37" s="89">
        <v>45861</v>
      </c>
    </row>
    <row r="38" spans="1:17" ht="16.2">
      <c r="A38" s="33">
        <v>11</v>
      </c>
      <c r="B38" s="101" t="s">
        <v>276</v>
      </c>
      <c r="C38" s="97" t="str">
        <f t="shared" si="1"/>
        <v>M-011.11</v>
      </c>
      <c r="D38" s="76" t="s">
        <v>147</v>
      </c>
      <c r="E38" s="119" t="s">
        <v>148</v>
      </c>
      <c r="F38" s="74" t="s">
        <v>149</v>
      </c>
      <c r="G38" s="74"/>
      <c r="H38" s="114">
        <f>80*28+20*36+200*2.5+200+200*1.5+50*1.5+50*1.5+50*3+30*3+50*28+2*375+100*7</f>
        <v>7200</v>
      </c>
      <c r="I38" s="114"/>
      <c r="J38" s="75">
        <f t="shared" si="0"/>
        <v>7200</v>
      </c>
      <c r="K38" s="74"/>
      <c r="L38" s="74"/>
      <c r="M38" s="122"/>
      <c r="N38" s="122"/>
      <c r="O38" s="122"/>
      <c r="P38" s="122"/>
      <c r="Q38" s="89">
        <v>45861</v>
      </c>
    </row>
    <row r="39" spans="1:17" ht="16.2">
      <c r="A39" s="33">
        <v>11</v>
      </c>
      <c r="B39" s="101" t="s">
        <v>254</v>
      </c>
      <c r="C39" s="97" t="str">
        <f t="shared" si="1"/>
        <v>M-011.12</v>
      </c>
      <c r="D39" s="76" t="s">
        <v>147</v>
      </c>
      <c r="E39" s="119" t="s">
        <v>148</v>
      </c>
      <c r="F39" s="74" t="s">
        <v>149</v>
      </c>
      <c r="G39" s="74"/>
      <c r="H39" s="114">
        <f>3*2040</f>
        <v>6120</v>
      </c>
      <c r="I39" s="114"/>
      <c r="J39" s="75">
        <f t="shared" si="0"/>
        <v>6120</v>
      </c>
      <c r="K39" s="74"/>
      <c r="L39" s="74"/>
      <c r="M39" s="122"/>
      <c r="N39" s="122"/>
      <c r="O39" s="122"/>
      <c r="P39" s="122"/>
      <c r="Q39" s="89">
        <v>45861</v>
      </c>
    </row>
    <row r="40" spans="1:17" ht="16.2">
      <c r="A40" s="33">
        <v>11</v>
      </c>
      <c r="B40" s="101" t="s">
        <v>272</v>
      </c>
      <c r="C40" s="97" t="str">
        <f t="shared" si="1"/>
        <v>M-011.13</v>
      </c>
      <c r="D40" s="76" t="s">
        <v>147</v>
      </c>
      <c r="E40" s="119" t="s">
        <v>148</v>
      </c>
      <c r="F40" s="74" t="s">
        <v>149</v>
      </c>
      <c r="G40" s="74"/>
      <c r="H40" s="114">
        <v>900</v>
      </c>
      <c r="I40" s="114"/>
      <c r="J40" s="75">
        <f t="shared" si="0"/>
        <v>900</v>
      </c>
      <c r="K40" s="74"/>
      <c r="L40" s="74"/>
      <c r="M40" s="122"/>
      <c r="N40" s="122"/>
      <c r="O40" s="122"/>
      <c r="P40" s="122"/>
      <c r="Q40" s="89">
        <v>45861</v>
      </c>
    </row>
    <row r="41" spans="1:17" ht="16.2">
      <c r="A41" s="33">
        <v>11</v>
      </c>
      <c r="B41" s="101" t="s">
        <v>266</v>
      </c>
      <c r="C41" s="97" t="str">
        <f t="shared" si="1"/>
        <v>M-011.14</v>
      </c>
      <c r="D41" s="76" t="s">
        <v>147</v>
      </c>
      <c r="E41" s="119" t="s">
        <v>148</v>
      </c>
      <c r="F41" s="74" t="s">
        <v>149</v>
      </c>
      <c r="G41" s="74"/>
      <c r="H41" s="114">
        <f>50*8+20*13+50*18+50*8+50*13+100*3.3+100*2+3*36+6*20+20*115.1+20*27+50*4</f>
        <v>6410</v>
      </c>
      <c r="I41" s="114"/>
      <c r="J41" s="75">
        <f t="shared" si="0"/>
        <v>6410</v>
      </c>
      <c r="K41" s="74"/>
      <c r="L41" s="74"/>
      <c r="M41" s="122"/>
      <c r="N41" s="122"/>
      <c r="O41" s="122"/>
      <c r="P41" s="122"/>
      <c r="Q41" s="89">
        <v>45861</v>
      </c>
    </row>
    <row r="42" spans="1:17" ht="16.2">
      <c r="A42" s="33">
        <v>11</v>
      </c>
      <c r="B42" s="101" t="s">
        <v>264</v>
      </c>
      <c r="C42" s="97" t="str">
        <f t="shared" si="1"/>
        <v>M-011.15</v>
      </c>
      <c r="D42" s="76" t="s">
        <v>147</v>
      </c>
      <c r="E42" s="119" t="s">
        <v>148</v>
      </c>
      <c r="F42" s="74" t="s">
        <v>149</v>
      </c>
      <c r="G42" s="74"/>
      <c r="H42" s="114">
        <f>60*136.9+480+85+2*15+20*3+10*4</f>
        <v>8909</v>
      </c>
      <c r="I42" s="114"/>
      <c r="J42" s="75">
        <f t="shared" si="0"/>
        <v>8909</v>
      </c>
      <c r="K42" s="74"/>
      <c r="L42" s="74"/>
      <c r="M42" s="122"/>
      <c r="N42" s="122"/>
      <c r="O42" s="122"/>
      <c r="P42" s="122"/>
      <c r="Q42" s="89">
        <v>45861</v>
      </c>
    </row>
    <row r="43" spans="1:17" ht="16.2">
      <c r="A43" s="33">
        <v>11</v>
      </c>
      <c r="B43" s="101" t="s">
        <v>300</v>
      </c>
      <c r="C43" s="97" t="str">
        <f t="shared" si="1"/>
        <v>M-011.16</v>
      </c>
      <c r="D43" s="76" t="s">
        <v>147</v>
      </c>
      <c r="E43" s="119" t="s">
        <v>148</v>
      </c>
      <c r="F43" s="74" t="s">
        <v>149</v>
      </c>
      <c r="G43" s="74"/>
      <c r="H43" s="114">
        <f>30*28+40*28+24+50*12</f>
        <v>2584</v>
      </c>
      <c r="I43" s="114"/>
      <c r="J43" s="75">
        <f t="shared" si="0"/>
        <v>2584</v>
      </c>
      <c r="K43" s="74"/>
      <c r="L43" s="74"/>
      <c r="M43" s="122"/>
      <c r="N43" s="122"/>
      <c r="O43" s="122"/>
      <c r="P43" s="122"/>
      <c r="Q43" s="89">
        <v>45861</v>
      </c>
    </row>
    <row r="44" spans="1:17" ht="16.2">
      <c r="A44" s="33">
        <v>11</v>
      </c>
      <c r="B44" s="101" t="s">
        <v>291</v>
      </c>
      <c r="C44" s="97" t="str">
        <f t="shared" si="1"/>
        <v>M-011.17</v>
      </c>
      <c r="D44" s="76" t="s">
        <v>147</v>
      </c>
      <c r="E44" s="119" t="s">
        <v>148</v>
      </c>
      <c r="F44" s="74" t="s">
        <v>149</v>
      </c>
      <c r="G44" s="74"/>
      <c r="H44" s="114">
        <f>30*36+50*1.5+50*3+100*3+25*0.6+25+100*0.68+30*3</f>
        <v>1803</v>
      </c>
      <c r="I44" s="114"/>
      <c r="J44" s="75">
        <f t="shared" si="0"/>
        <v>1803</v>
      </c>
      <c r="K44" s="74"/>
      <c r="L44" s="74"/>
      <c r="M44" s="122"/>
      <c r="N44" s="122"/>
      <c r="O44" s="122"/>
      <c r="P44" s="122"/>
      <c r="Q44" s="89">
        <v>45861</v>
      </c>
    </row>
    <row r="45" spans="1:17" ht="16.2">
      <c r="A45" s="33">
        <v>11</v>
      </c>
      <c r="B45" s="101" t="s">
        <v>292</v>
      </c>
      <c r="C45" s="97" t="str">
        <f t="shared" si="1"/>
        <v>M-011.18</v>
      </c>
      <c r="D45" s="76" t="s">
        <v>147</v>
      </c>
      <c r="E45" s="119" t="s">
        <v>148</v>
      </c>
      <c r="F45" s="74" t="s">
        <v>149</v>
      </c>
      <c r="G45" s="74"/>
      <c r="H45" s="114">
        <f>5*1200+50*4+50*1.5+50*3</f>
        <v>6425</v>
      </c>
      <c r="I45" s="114"/>
      <c r="J45" s="75">
        <f t="shared" si="0"/>
        <v>6425</v>
      </c>
      <c r="K45" s="74"/>
      <c r="L45" s="74"/>
      <c r="M45" s="122"/>
      <c r="N45" s="122"/>
      <c r="O45" s="122"/>
      <c r="P45" s="122"/>
      <c r="Q45" s="89">
        <v>45861</v>
      </c>
    </row>
    <row r="46" spans="1:17" ht="16.2">
      <c r="A46" s="33">
        <v>11</v>
      </c>
      <c r="B46" s="101" t="s">
        <v>296</v>
      </c>
      <c r="C46" s="97" t="str">
        <f t="shared" si="1"/>
        <v>M-011.19</v>
      </c>
      <c r="D46" s="76" t="s">
        <v>147</v>
      </c>
      <c r="E46" s="119" t="s">
        <v>148</v>
      </c>
      <c r="F46" s="74" t="s">
        <v>149</v>
      </c>
      <c r="G46" s="74"/>
      <c r="H46" s="114">
        <f>5*37+100+2*480+20*136.9+1000*0.38</f>
        <v>4363</v>
      </c>
      <c r="I46" s="114"/>
      <c r="J46" s="75">
        <f t="shared" si="0"/>
        <v>4363</v>
      </c>
      <c r="K46" s="74"/>
      <c r="L46" s="74"/>
      <c r="M46" s="122"/>
      <c r="N46" s="122"/>
      <c r="O46" s="122"/>
      <c r="P46" s="122"/>
      <c r="Q46" s="89">
        <v>45861</v>
      </c>
    </row>
    <row r="47" spans="1:17" ht="16.2">
      <c r="A47" s="33">
        <v>11</v>
      </c>
      <c r="B47" s="101" t="s">
        <v>402</v>
      </c>
      <c r="C47" s="97" t="str">
        <f t="shared" si="1"/>
        <v>M-011.20</v>
      </c>
      <c r="D47" s="76" t="s">
        <v>147</v>
      </c>
      <c r="E47" s="119" t="s">
        <v>148</v>
      </c>
      <c r="F47" s="74" t="s">
        <v>149</v>
      </c>
      <c r="G47" s="74"/>
      <c r="H47" s="114">
        <f>4*115.1+5*3</f>
        <v>475.4</v>
      </c>
      <c r="I47" s="114"/>
      <c r="J47" s="75">
        <f t="shared" si="0"/>
        <v>475.4</v>
      </c>
      <c r="K47" s="74"/>
      <c r="L47" s="74"/>
      <c r="M47" s="122"/>
      <c r="N47" s="122"/>
      <c r="O47" s="122"/>
      <c r="P47" s="122"/>
      <c r="Q47" s="89">
        <v>46142</v>
      </c>
    </row>
    <row r="48" spans="1:17" ht="16.2">
      <c r="A48" s="33">
        <v>11</v>
      </c>
      <c r="B48" s="101" t="s">
        <v>412</v>
      </c>
      <c r="C48" s="97" t="str">
        <f t="shared" si="1"/>
        <v>M-011.21</v>
      </c>
      <c r="D48" s="76" t="s">
        <v>147</v>
      </c>
      <c r="E48" s="119" t="s">
        <v>148</v>
      </c>
      <c r="F48" s="74" t="s">
        <v>149</v>
      </c>
      <c r="G48" s="74"/>
      <c r="H48" s="114">
        <f>40*28+100*2.5+15*153+100*6.3+7*219+10*308+8*411.8+292.8+3*179.2+20*145.9+3*26</f>
        <v>16028.8</v>
      </c>
      <c r="I48" s="114"/>
      <c r="J48" s="75">
        <f t="shared" si="0"/>
        <v>16028.8</v>
      </c>
      <c r="K48" s="74"/>
      <c r="L48" s="74"/>
      <c r="M48" s="122"/>
      <c r="N48" s="122"/>
      <c r="O48" s="122"/>
      <c r="P48" s="122"/>
      <c r="Q48" s="89">
        <v>46142</v>
      </c>
    </row>
    <row r="49" spans="1:17" ht="16.2">
      <c r="A49" s="33">
        <v>11</v>
      </c>
      <c r="B49" s="101" t="s">
        <v>395</v>
      </c>
      <c r="C49" s="97" t="str">
        <f t="shared" si="1"/>
        <v>M-011.22</v>
      </c>
      <c r="D49" s="76" t="s">
        <v>147</v>
      </c>
      <c r="E49" s="119" t="s">
        <v>148</v>
      </c>
      <c r="F49" s="74" t="s">
        <v>149</v>
      </c>
      <c r="G49" s="74"/>
      <c r="H49" s="114">
        <f>2*115.1+30*1.5</f>
        <v>275.2</v>
      </c>
      <c r="I49" s="114"/>
      <c r="J49" s="75">
        <f t="shared" si="0"/>
        <v>275.2</v>
      </c>
      <c r="K49" s="74"/>
      <c r="L49" s="74"/>
      <c r="M49" s="122"/>
      <c r="N49" s="122"/>
      <c r="O49" s="122"/>
      <c r="P49" s="122"/>
      <c r="Q49" s="89">
        <v>46142</v>
      </c>
    </row>
    <row r="50" spans="1:17" ht="16.2">
      <c r="A50" s="33">
        <v>11</v>
      </c>
      <c r="B50" s="101" t="s">
        <v>408</v>
      </c>
      <c r="C50" s="97" t="str">
        <f t="shared" si="1"/>
        <v>M-011.23</v>
      </c>
      <c r="D50" s="76" t="s">
        <v>147</v>
      </c>
      <c r="E50" s="119" t="s">
        <v>148</v>
      </c>
      <c r="F50" s="74" t="s">
        <v>149</v>
      </c>
      <c r="G50" s="74"/>
      <c r="H50" s="114">
        <f>60*28+150*2.5+300+200+100*1.5+300*1.5+100*3+20*20.5+50*28+50*8+10*13+30*18</f>
        <v>6335</v>
      </c>
      <c r="I50" s="114"/>
      <c r="J50" s="75">
        <f t="shared" si="0"/>
        <v>6335</v>
      </c>
      <c r="K50" s="74"/>
      <c r="L50" s="74"/>
      <c r="M50" s="122"/>
      <c r="N50" s="122"/>
      <c r="O50" s="122"/>
      <c r="P50" s="122"/>
      <c r="Q50" s="89">
        <v>46142</v>
      </c>
    </row>
    <row r="51" spans="1:17" ht="16.2">
      <c r="A51" s="33">
        <v>11</v>
      </c>
      <c r="B51" s="101" t="s">
        <v>406</v>
      </c>
      <c r="C51" s="97" t="str">
        <f t="shared" si="1"/>
        <v>M-011.24</v>
      </c>
      <c r="D51" s="76" t="s">
        <v>147</v>
      </c>
      <c r="E51" s="119" t="s">
        <v>148</v>
      </c>
      <c r="F51" s="74" t="s">
        <v>149</v>
      </c>
      <c r="G51" s="74"/>
      <c r="H51" s="114">
        <v>1625</v>
      </c>
      <c r="I51" s="114"/>
      <c r="J51" s="75">
        <f t="shared" si="0"/>
        <v>1625</v>
      </c>
      <c r="K51" s="74"/>
      <c r="L51" s="74"/>
      <c r="M51" s="122"/>
      <c r="N51" s="122"/>
      <c r="O51" s="122"/>
      <c r="P51" s="122"/>
      <c r="Q51" s="89">
        <v>46142</v>
      </c>
    </row>
    <row r="52" spans="1:17" ht="16.2">
      <c r="A52" s="33">
        <v>11</v>
      </c>
      <c r="B52" s="101" t="s">
        <v>404</v>
      </c>
      <c r="C52" s="97" t="str">
        <f t="shared" si="1"/>
        <v>M-011.25</v>
      </c>
      <c r="D52" s="76" t="s">
        <v>147</v>
      </c>
      <c r="E52" s="119" t="s">
        <v>148</v>
      </c>
      <c r="F52" s="74" t="s">
        <v>149</v>
      </c>
      <c r="G52" s="74"/>
      <c r="H52" s="114">
        <f>100*2+50*153+480+85+3*15</f>
        <v>8460</v>
      </c>
      <c r="I52" s="114"/>
      <c r="J52" s="75">
        <f t="shared" si="0"/>
        <v>8460</v>
      </c>
      <c r="K52" s="74"/>
      <c r="L52" s="74"/>
      <c r="M52" s="122"/>
      <c r="N52" s="122"/>
      <c r="O52" s="122"/>
      <c r="P52" s="122"/>
      <c r="Q52" s="89">
        <v>46142</v>
      </c>
    </row>
    <row r="53" spans="1:17" ht="16.2">
      <c r="A53" s="33">
        <v>11</v>
      </c>
      <c r="B53" s="101" t="s">
        <v>417</v>
      </c>
      <c r="C53" s="97" t="str">
        <f t="shared" si="1"/>
        <v>M-011.26</v>
      </c>
      <c r="D53" s="76" t="s">
        <v>147</v>
      </c>
      <c r="E53" s="119" t="s">
        <v>148</v>
      </c>
      <c r="F53" s="74" t="s">
        <v>149</v>
      </c>
      <c r="G53" s="74"/>
      <c r="H53" s="114">
        <f>5*26+2*390+700+50*3+20*115.1+50*8+50*24+5*14+20*38+300*1.2+10*58+400</f>
        <v>7832</v>
      </c>
      <c r="I53" s="114"/>
      <c r="J53" s="75">
        <f t="shared" si="0"/>
        <v>7832</v>
      </c>
      <c r="K53" s="74"/>
      <c r="L53" s="74"/>
      <c r="M53" s="122"/>
      <c r="N53" s="122"/>
      <c r="O53" s="122"/>
      <c r="P53" s="122"/>
      <c r="Q53" s="89">
        <v>46174</v>
      </c>
    </row>
    <row r="54" spans="1:17" ht="16.2">
      <c r="A54" s="33">
        <v>11</v>
      </c>
      <c r="B54" s="101" t="s">
        <v>396</v>
      </c>
      <c r="C54" s="97" t="str">
        <f t="shared" si="1"/>
        <v>M-011.27</v>
      </c>
      <c r="D54" s="76"/>
      <c r="E54" s="119"/>
      <c r="F54" s="74"/>
      <c r="G54" s="74"/>
      <c r="H54" s="114"/>
      <c r="I54" s="114"/>
      <c r="J54" s="75">
        <f t="shared" si="0"/>
        <v>0</v>
      </c>
      <c r="K54" s="74"/>
      <c r="L54" s="74"/>
      <c r="M54" s="122"/>
      <c r="N54" s="122"/>
      <c r="O54" s="122"/>
      <c r="P54" s="122"/>
      <c r="Q54" s="89"/>
    </row>
    <row r="55" spans="1:17" ht="16.2">
      <c r="A55" s="33">
        <v>11</v>
      </c>
      <c r="B55" s="101" t="s">
        <v>397</v>
      </c>
      <c r="C55" s="97" t="str">
        <f t="shared" si="1"/>
        <v>M-011.28</v>
      </c>
      <c r="D55" s="76"/>
      <c r="E55" s="119"/>
      <c r="F55" s="74"/>
      <c r="G55" s="74"/>
      <c r="H55" s="114"/>
      <c r="I55" s="114"/>
      <c r="J55" s="75">
        <f t="shared" si="0"/>
        <v>0</v>
      </c>
      <c r="K55" s="74"/>
      <c r="L55" s="74"/>
      <c r="M55" s="122"/>
      <c r="N55" s="122"/>
      <c r="O55" s="122"/>
      <c r="P55" s="122"/>
      <c r="Q55" s="89"/>
    </row>
    <row r="56" spans="1:17" ht="16.2">
      <c r="A56" s="33">
        <v>11</v>
      </c>
      <c r="B56" s="101" t="s">
        <v>398</v>
      </c>
      <c r="C56" s="97" t="str">
        <f t="shared" si="1"/>
        <v>M-011.29</v>
      </c>
      <c r="D56" s="76"/>
      <c r="E56" s="119"/>
      <c r="F56" s="74"/>
      <c r="G56" s="74"/>
      <c r="H56" s="114"/>
      <c r="I56" s="114"/>
      <c r="J56" s="75">
        <f t="shared" si="0"/>
        <v>0</v>
      </c>
      <c r="K56" s="74"/>
      <c r="L56" s="74"/>
      <c r="M56" s="122"/>
      <c r="N56" s="122"/>
      <c r="O56" s="122"/>
      <c r="P56" s="122"/>
      <c r="Q56" s="89"/>
    </row>
    <row r="57" spans="1:17" ht="16.2">
      <c r="A57" s="33">
        <v>11</v>
      </c>
      <c r="B57" s="101" t="s">
        <v>399</v>
      </c>
      <c r="C57" s="97" t="str">
        <f t="shared" si="1"/>
        <v>M-011.30</v>
      </c>
      <c r="D57" s="76"/>
      <c r="E57" s="119"/>
      <c r="F57" s="74"/>
      <c r="G57" s="74"/>
      <c r="H57" s="114"/>
      <c r="I57" s="114"/>
      <c r="J57" s="75">
        <f t="shared" si="0"/>
        <v>0</v>
      </c>
      <c r="K57" s="74"/>
      <c r="L57" s="74"/>
      <c r="M57" s="122"/>
      <c r="N57" s="122"/>
      <c r="O57" s="122"/>
      <c r="P57" s="122"/>
      <c r="Q57" s="89"/>
    </row>
    <row r="58" spans="1:17" ht="16.2">
      <c r="A58" s="33">
        <v>11</v>
      </c>
      <c r="B58" s="101" t="s">
        <v>400</v>
      </c>
      <c r="C58" s="97" t="str">
        <f t="shared" si="1"/>
        <v>M-011.31</v>
      </c>
      <c r="D58" s="76"/>
      <c r="E58" s="119"/>
      <c r="F58" s="74"/>
      <c r="G58" s="74"/>
      <c r="H58" s="114"/>
      <c r="I58" s="114"/>
      <c r="J58" s="75">
        <f t="shared" si="0"/>
        <v>0</v>
      </c>
      <c r="K58" s="74"/>
      <c r="L58" s="74"/>
      <c r="M58" s="122"/>
      <c r="N58" s="122"/>
      <c r="O58" s="122"/>
      <c r="P58" s="122"/>
      <c r="Q58" s="89"/>
    </row>
    <row r="59" spans="1:17" ht="30" customHeight="1">
      <c r="A59" s="33">
        <v>12</v>
      </c>
      <c r="B59" s="101" t="s">
        <v>157</v>
      </c>
      <c r="C59" s="97" t="str">
        <f t="shared" si="1"/>
        <v>O-012</v>
      </c>
      <c r="D59" s="76" t="s">
        <v>158</v>
      </c>
      <c r="E59" s="119" t="s">
        <v>159</v>
      </c>
      <c r="F59" s="74" t="s">
        <v>160</v>
      </c>
      <c r="G59" s="74"/>
      <c r="H59" s="114">
        <f>1493+5229+7284</f>
        <v>14006</v>
      </c>
      <c r="I59" s="114"/>
      <c r="J59" s="75">
        <f t="shared" si="0"/>
        <v>14006</v>
      </c>
      <c r="K59" s="74"/>
      <c r="L59" s="74"/>
      <c r="M59" s="122"/>
      <c r="N59" s="122"/>
      <c r="O59" s="122"/>
      <c r="P59" s="122"/>
      <c r="Q59" s="89"/>
    </row>
    <row r="60" spans="1:17" ht="16.2">
      <c r="A60" s="33">
        <v>13</v>
      </c>
      <c r="B60" s="101" t="s">
        <v>161</v>
      </c>
      <c r="C60" s="97" t="str">
        <f t="shared" si="1"/>
        <v>O-013</v>
      </c>
      <c r="D60" s="76" t="s">
        <v>162</v>
      </c>
      <c r="E60" s="119"/>
      <c r="F60" s="74"/>
      <c r="G60" s="74"/>
      <c r="H60" s="114">
        <f>6146.9+1920+460+1827+1685</f>
        <v>12038.9</v>
      </c>
      <c r="I60" s="114"/>
      <c r="J60" s="75">
        <f t="shared" si="0"/>
        <v>12038.9</v>
      </c>
      <c r="K60" s="74"/>
      <c r="L60" s="74"/>
      <c r="M60" s="122"/>
      <c r="N60" s="122"/>
      <c r="O60" s="122"/>
      <c r="P60" s="122"/>
      <c r="Q60" s="89"/>
    </row>
    <row r="61" spans="1:17" ht="26.4">
      <c r="A61" s="33">
        <v>14</v>
      </c>
      <c r="B61" s="101" t="s">
        <v>163</v>
      </c>
      <c r="C61" s="97" t="str">
        <f t="shared" si="1"/>
        <v>O-014</v>
      </c>
      <c r="D61" s="76" t="s">
        <v>164</v>
      </c>
      <c r="E61" s="119" t="s">
        <v>165</v>
      </c>
      <c r="F61" s="74" t="s">
        <v>160</v>
      </c>
      <c r="G61" s="74"/>
      <c r="H61" s="114">
        <f>422+1480+1174+3203</f>
        <v>6279</v>
      </c>
      <c r="I61" s="114"/>
      <c r="J61" s="75">
        <f t="shared" si="0"/>
        <v>6279</v>
      </c>
      <c r="K61" s="74"/>
      <c r="L61" s="74"/>
      <c r="M61" s="122"/>
      <c r="N61" s="122"/>
      <c r="O61" s="122"/>
      <c r="P61" s="122"/>
      <c r="Q61" s="89"/>
    </row>
    <row r="62" spans="1:17" ht="16.2">
      <c r="A62" s="33">
        <v>15</v>
      </c>
      <c r="B62" s="101" t="s">
        <v>166</v>
      </c>
      <c r="C62" s="97" t="str">
        <f t="shared" si="1"/>
        <v>M-015</v>
      </c>
      <c r="D62" s="76" t="s">
        <v>167</v>
      </c>
      <c r="E62" s="119"/>
      <c r="F62" s="74" t="s">
        <v>168</v>
      </c>
      <c r="G62" s="74"/>
      <c r="H62" s="116">
        <v>174600</v>
      </c>
      <c r="I62" s="116"/>
      <c r="J62" s="75">
        <f t="shared" si="0"/>
        <v>174600</v>
      </c>
      <c r="K62" s="74"/>
      <c r="L62" s="74"/>
      <c r="M62" s="101"/>
      <c r="N62" s="101"/>
      <c r="O62" s="101"/>
      <c r="P62" s="101"/>
      <c r="Q62" s="89">
        <v>45861</v>
      </c>
    </row>
    <row r="63" spans="1:17" ht="16.2">
      <c r="A63" s="33">
        <v>15</v>
      </c>
      <c r="B63" s="101" t="s">
        <v>387</v>
      </c>
      <c r="C63" s="97" t="str">
        <f t="shared" si="1"/>
        <v>M-015.1</v>
      </c>
      <c r="D63" s="76" t="s">
        <v>167</v>
      </c>
      <c r="E63" s="119"/>
      <c r="F63" s="74" t="s">
        <v>168</v>
      </c>
      <c r="G63" s="74"/>
      <c r="H63" s="116">
        <v>32220</v>
      </c>
      <c r="I63" s="116"/>
      <c r="J63" s="75">
        <f t="shared" si="0"/>
        <v>32220</v>
      </c>
      <c r="K63" s="74"/>
      <c r="L63" s="74"/>
      <c r="M63" s="101"/>
      <c r="N63" s="101"/>
      <c r="O63" s="101"/>
      <c r="P63" s="101"/>
      <c r="Q63" s="89">
        <v>46127</v>
      </c>
    </row>
    <row r="64" spans="1:17" s="247" customFormat="1" ht="16.2">
      <c r="A64" s="238">
        <v>16</v>
      </c>
      <c r="B64" s="239" t="s">
        <v>360</v>
      </c>
      <c r="C64" s="240" t="str">
        <f t="shared" si="1"/>
        <v>O-016</v>
      </c>
      <c r="D64" s="241" t="s">
        <v>169</v>
      </c>
      <c r="E64" s="242" t="s">
        <v>140</v>
      </c>
      <c r="F64" s="243"/>
      <c r="G64" s="243"/>
      <c r="H64" s="244"/>
      <c r="I64" s="244"/>
      <c r="J64" s="245">
        <f t="shared" si="0"/>
        <v>0</v>
      </c>
      <c r="K64" s="243"/>
      <c r="L64" s="243"/>
      <c r="M64" s="239"/>
      <c r="N64" s="239"/>
      <c r="O64" s="239"/>
      <c r="P64" s="239"/>
      <c r="Q64" s="246"/>
    </row>
    <row r="65" spans="1:17" ht="40.200000000000003">
      <c r="A65" s="211">
        <v>17</v>
      </c>
      <c r="B65" s="212" t="s">
        <v>361</v>
      </c>
      <c r="C65" s="97" t="str">
        <f t="shared" si="1"/>
        <v>O-017</v>
      </c>
      <c r="D65" s="213" t="s">
        <v>170</v>
      </c>
      <c r="E65" s="214" t="s">
        <v>171</v>
      </c>
      <c r="F65" s="215" t="s">
        <v>172</v>
      </c>
      <c r="G65" s="215" t="s">
        <v>449</v>
      </c>
      <c r="H65" s="216">
        <v>1500</v>
      </c>
      <c r="I65" s="216"/>
      <c r="J65" s="216">
        <f t="shared" si="0"/>
        <v>1500</v>
      </c>
      <c r="K65" s="215" t="s">
        <v>252</v>
      </c>
      <c r="L65" s="215"/>
      <c r="M65" s="215"/>
      <c r="N65" s="215"/>
      <c r="O65" s="215"/>
      <c r="P65" s="215"/>
      <c r="Q65" s="217">
        <v>45880</v>
      </c>
    </row>
    <row r="66" spans="1:17" ht="16.2">
      <c r="A66" s="33">
        <v>18</v>
      </c>
      <c r="B66" s="101" t="s">
        <v>418</v>
      </c>
      <c r="C66" s="97" t="str">
        <f t="shared" si="1"/>
        <v>O-018</v>
      </c>
      <c r="D66" s="76" t="s">
        <v>419</v>
      </c>
      <c r="E66" s="252" t="s">
        <v>420</v>
      </c>
      <c r="F66" s="74" t="s">
        <v>421</v>
      </c>
      <c r="G66" s="74"/>
      <c r="H66" s="116">
        <v>3280</v>
      </c>
      <c r="I66" s="116"/>
      <c r="J66" s="75">
        <f t="shared" si="0"/>
        <v>3280</v>
      </c>
      <c r="K66" s="74"/>
      <c r="L66" s="74"/>
      <c r="M66" s="101"/>
      <c r="N66" s="101"/>
      <c r="O66" s="101"/>
      <c r="P66" s="101"/>
      <c r="Q66" s="89">
        <v>46174</v>
      </c>
    </row>
    <row r="67" spans="1:17" ht="16.2">
      <c r="A67" s="33">
        <v>18.100000000000001</v>
      </c>
      <c r="B67" s="101" t="s">
        <v>436</v>
      </c>
      <c r="C67" s="97"/>
      <c r="D67" s="76" t="s">
        <v>419</v>
      </c>
      <c r="E67" s="252" t="s">
        <v>420</v>
      </c>
      <c r="F67" s="115" t="s">
        <v>437</v>
      </c>
      <c r="G67" s="74"/>
      <c r="H67" s="116">
        <v>43640</v>
      </c>
      <c r="I67" s="116"/>
      <c r="J67" s="75">
        <f t="shared" si="0"/>
        <v>43640</v>
      </c>
      <c r="K67" s="74"/>
      <c r="L67" s="74"/>
      <c r="M67" s="101"/>
      <c r="N67" s="101"/>
      <c r="O67" s="101"/>
      <c r="P67" s="101"/>
      <c r="Q67" s="89">
        <v>46177</v>
      </c>
    </row>
    <row r="68" spans="1:17" ht="26.4">
      <c r="A68" s="105">
        <v>19</v>
      </c>
      <c r="B68" s="106" t="s">
        <v>40</v>
      </c>
      <c r="C68" s="270" t="str">
        <f t="shared" si="1"/>
        <v>SC-019</v>
      </c>
      <c r="D68" s="271" t="s">
        <v>439</v>
      </c>
      <c r="E68" s="272" t="s">
        <v>438</v>
      </c>
      <c r="F68" s="273" t="s">
        <v>440</v>
      </c>
      <c r="G68" s="108"/>
      <c r="H68" s="274">
        <v>95000</v>
      </c>
      <c r="I68" s="274"/>
      <c r="J68" s="110">
        <f t="shared" si="0"/>
        <v>95000</v>
      </c>
      <c r="K68" s="108"/>
      <c r="L68" s="108"/>
      <c r="M68" s="106"/>
      <c r="N68" s="106"/>
      <c r="O68" s="106"/>
      <c r="P68" s="106"/>
      <c r="Q68" s="112">
        <v>46178</v>
      </c>
    </row>
    <row r="69" spans="1:17" ht="16.2">
      <c r="A69" s="33">
        <v>20</v>
      </c>
      <c r="B69" s="101" t="s">
        <v>447</v>
      </c>
      <c r="C69" s="97" t="str">
        <f t="shared" si="1"/>
        <v>SC-020</v>
      </c>
      <c r="D69" s="76" t="s">
        <v>444</v>
      </c>
      <c r="E69" s="252" t="s">
        <v>445</v>
      </c>
      <c r="F69" s="74" t="s">
        <v>446</v>
      </c>
      <c r="G69" s="74"/>
      <c r="H69" s="116">
        <v>277</v>
      </c>
      <c r="I69" s="116"/>
      <c r="J69" s="75">
        <f t="shared" si="0"/>
        <v>277</v>
      </c>
      <c r="K69" s="74"/>
      <c r="L69" s="74"/>
      <c r="M69" s="101"/>
      <c r="N69" s="101"/>
      <c r="O69" s="101"/>
      <c r="P69" s="101"/>
      <c r="Q69" s="89">
        <v>46178</v>
      </c>
    </row>
    <row r="70" spans="1:17" ht="16.2">
      <c r="A70" s="33">
        <v>21</v>
      </c>
      <c r="B70" s="101" t="s">
        <v>441</v>
      </c>
      <c r="C70" s="97" t="str">
        <f t="shared" ref="C70" si="2">HYPERLINK("Z:\MePork\000 綜合\020 報價合約\Quotation\2024\MS_Q1241_24_kp (C9644-24C Extension of Fitness Room at KBD Recreation &amp; Sports Centre)\P1 - Payment\Quotation Records\"&amp;B70&amp;".PDF",B70)</f>
        <v>SC-021</v>
      </c>
      <c r="D70" s="76"/>
      <c r="E70" s="76"/>
      <c r="F70" s="74"/>
      <c r="G70" s="74"/>
      <c r="H70" s="116"/>
      <c r="I70" s="116"/>
      <c r="J70" s="75">
        <f t="shared" ref="J70" si="3">H70+I70</f>
        <v>0</v>
      </c>
      <c r="K70" s="74"/>
      <c r="L70" s="74"/>
      <c r="M70" s="101"/>
      <c r="N70" s="101"/>
      <c r="O70" s="101"/>
      <c r="P70" s="101"/>
      <c r="Q70" s="89"/>
    </row>
    <row r="71" spans="1:17" ht="16.2">
      <c r="A71" s="33">
        <v>22</v>
      </c>
      <c r="B71" s="101" t="s">
        <v>442</v>
      </c>
      <c r="C71" s="97" t="str">
        <f t="shared" ref="C71" si="4">HYPERLINK("Z:\MePork\000 綜合\020 報價合約\Quotation\2024\MS_Q1241_24_kp (C9644-24C Extension of Fitness Room at KBD Recreation &amp; Sports Centre)\P1 - Payment\Quotation Records\"&amp;B71&amp;".PDF",B71)</f>
        <v>SC-022</v>
      </c>
      <c r="D71" s="76"/>
      <c r="E71" s="76"/>
      <c r="F71" s="74"/>
      <c r="G71" s="74"/>
      <c r="H71" s="116"/>
      <c r="I71" s="116"/>
      <c r="J71" s="75">
        <f t="shared" ref="J71" si="5">H71+I71</f>
        <v>0</v>
      </c>
      <c r="K71" s="74"/>
      <c r="L71" s="74"/>
      <c r="M71" s="101"/>
      <c r="N71" s="101"/>
      <c r="O71" s="101"/>
      <c r="P71" s="101"/>
      <c r="Q71" s="89"/>
    </row>
    <row r="72" spans="1:17" ht="16.2">
      <c r="A72" s="33">
        <v>23</v>
      </c>
      <c r="B72" s="101" t="s">
        <v>443</v>
      </c>
      <c r="C72" s="97" t="str">
        <f t="shared" si="1"/>
        <v>SC-023</v>
      </c>
      <c r="D72" s="76"/>
      <c r="E72" s="76"/>
      <c r="F72" s="74"/>
      <c r="G72" s="74"/>
      <c r="H72" s="116"/>
      <c r="I72" s="116"/>
      <c r="J72" s="75">
        <f t="shared" si="0"/>
        <v>0</v>
      </c>
      <c r="K72" s="74"/>
      <c r="L72" s="74"/>
      <c r="M72" s="101"/>
      <c r="N72" s="101"/>
      <c r="O72" s="101"/>
      <c r="P72" s="101"/>
      <c r="Q72" s="89"/>
    </row>
    <row r="73" spans="1:17">
      <c r="F73" s="123"/>
      <c r="G73" s="123"/>
      <c r="I73" s="262" t="s">
        <v>426</v>
      </c>
      <c r="J73" s="2">
        <f>SUM(J9:J72)</f>
        <v>6580182.25</v>
      </c>
    </row>
    <row r="74" spans="1:17">
      <c r="I74" s="262" t="s">
        <v>428</v>
      </c>
      <c r="J74" s="279">
        <f>SUMIF(G41:G72,K74,J41:J72)*-1</f>
        <v>-1500</v>
      </c>
      <c r="K74" s="1" t="s">
        <v>429</v>
      </c>
    </row>
    <row r="75" spans="1:17">
      <c r="B75" s="93" t="s">
        <v>173</v>
      </c>
      <c r="C75" s="94" t="s">
        <v>174</v>
      </c>
      <c r="I75" s="268" t="s">
        <v>365</v>
      </c>
      <c r="J75" s="269">
        <v>1362556.4</v>
      </c>
      <c r="Q75" s="249"/>
    </row>
    <row r="76" spans="1:17" ht="16.2" thickBot="1">
      <c r="B76" s="93" t="s">
        <v>175</v>
      </c>
      <c r="C76" s="94" t="s">
        <v>176</v>
      </c>
      <c r="I76" s="262" t="s">
        <v>430</v>
      </c>
      <c r="J76" s="265">
        <f>SUM(J73:J75)</f>
        <v>7941238.6500000004</v>
      </c>
    </row>
    <row r="77" spans="1:17" ht="17.399999999999999" thickTop="1" thickBot="1">
      <c r="B77" s="93" t="s">
        <v>177</v>
      </c>
      <c r="C77" s="94" t="s">
        <v>178</v>
      </c>
      <c r="I77" s="261" t="s">
        <v>431</v>
      </c>
      <c r="J77" s="266">
        <f>J6-J76</f>
        <v>-541238.65000000037</v>
      </c>
      <c r="K77" s="250" t="s">
        <v>433</v>
      </c>
    </row>
    <row r="78" spans="1:17" ht="17.399999999999999" thickTop="1" thickBot="1">
      <c r="I78" s="256" t="s">
        <v>432</v>
      </c>
      <c r="J78" s="267">
        <f>J77/J6</f>
        <v>-7.3140358108108164E-2</v>
      </c>
    </row>
    <row r="79" spans="1:17" ht="16.2" thickTop="1"/>
    <row r="82" spans="10:11">
      <c r="J82" s="248"/>
      <c r="K82" s="250"/>
    </row>
  </sheetData>
  <autoFilter ref="A8:Q73" xr:uid="{00000000-0009-0000-0000-000002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Summary</vt:lpstr>
      <vt:lpstr>代支工程, 物料</vt:lpstr>
      <vt:lpstr>Project Summary</vt:lpstr>
      <vt:lpstr>Summary!Print_Area</vt:lpstr>
      <vt:lpstr>'代支工程, 物料'!Print_Area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Kan</dc:creator>
  <cp:lastModifiedBy>Katie Puk 卜翠蓉</cp:lastModifiedBy>
  <cp:lastPrinted>2020-12-15T02:43:32Z</cp:lastPrinted>
  <dcterms:created xsi:type="dcterms:W3CDTF">2012-10-25T09:11:02Z</dcterms:created>
  <dcterms:modified xsi:type="dcterms:W3CDTF">2026-06-05T06:37:21Z</dcterms:modified>
</cp:coreProperties>
</file>